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46219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Y2">
        <f>HYPERLINK("https://klasma.github.io/Logging_1761/klagomål/S 1549-2026 FSC-klagomål.docx", "S 1549-2026")</f>
        <v/>
      </c>
      <c r="Z2">
        <f>HYPERLINK("https://klasma.github.io/Logging_1761/klagomålsmail/S 1549-2026 FSC-klagomål mail.docx", "S 1549-2026")</f>
        <v/>
      </c>
      <c r="AA2">
        <f>HYPERLINK("https://klasma.github.io/Logging_1761/tillsyn/S 1549-2026 tillsynsbegäran.docx", "S 1549-2026")</f>
        <v/>
      </c>
      <c r="AB2">
        <f>HYPERLINK("https://klasma.github.io/Logging_1761/tillsynsmail/S 1549-2026 tillsynsbegäran mail.docx", "S 1549-2026")</f>
        <v/>
      </c>
      <c r="AC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46219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Y3">
        <f>HYPERLINK("https://klasma.github.io/Logging_1761/klagomål/S 1548-2026 FSC-klagomål.docx", "S 1548-2026")</f>
        <v/>
      </c>
      <c r="Z3">
        <f>HYPERLINK("https://klasma.github.io/Logging_1761/klagomålsmail/S 1548-2026 FSC-klagomål mail.docx", "S 1548-2026")</f>
        <v/>
      </c>
      <c r="AA3">
        <f>HYPERLINK("https://klasma.github.io/Logging_1761/tillsyn/S 1548-2026 tillsynsbegäran.docx", "S 1548-2026")</f>
        <v/>
      </c>
      <c r="AB3">
        <f>HYPERLINK("https://klasma.github.io/Logging_1761/tillsynsmail/S 1548-2026 tillsynsbegäran mail.docx", "S 1548-2026")</f>
        <v/>
      </c>
      <c r="AC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46219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HYPERLINK("https://klasma.github.io/Logging_1761/knärot/A 68622-2021 karta knärot.png", "A 68622-2021")</f>
        <v/>
      </c>
      <c r="Y4">
        <f>HYPERLINK("https://klasma.github.io/Logging_1761/klagomål/A 68622-2021 FSC-klagomål.docx", "A 68622-2021")</f>
        <v/>
      </c>
      <c r="Z4">
        <f>HYPERLINK("https://klasma.github.io/Logging_1761/klagomålsmail/A 68622-2021 FSC-klagomål mail.docx", "A 68622-2021")</f>
        <v/>
      </c>
      <c r="AA4">
        <f>HYPERLINK("https://klasma.github.io/Logging_1761/tillsyn/A 68622-2021 tillsynsbegäran.docx", "A 68622-2021")</f>
        <v/>
      </c>
      <c r="AB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46219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HYPERLINK("https://klasma.github.io/Logging_1761/knärot/S 2492-2022 karta knärot.png", "S 2492-2022")</f>
        <v/>
      </c>
      <c r="Y5">
        <f>HYPERLINK("https://klasma.github.io/Logging_1761/klagomål/S 2492-2022 FSC-klagomål.docx", "S 2492-2022")</f>
        <v/>
      </c>
      <c r="Z5">
        <f>HYPERLINK("https://klasma.github.io/Logging_1761/klagomålsmail/S 2492-2022 FSC-klagomål mail.docx", "S 2492-2022")</f>
        <v/>
      </c>
      <c r="AA5">
        <f>HYPERLINK("https://klasma.github.io/Logging_1761/tillsyn/S 2492-2022 tillsynsbegäran.docx", "S 2492-2022")</f>
        <v/>
      </c>
      <c r="AB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46219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s="2" t="inlineStr">
        <is>
          <t>Knärot
Jättesvampmal
Åkergroda
Vanlig groda
Vanlig padda</t>
        </is>
      </c>
      <c r="V6">
        <f>HYPERLINK("https://klasma.github.io/Logging_1761/artfynd/A 3573-2026 artfynd.xlsx", "A 3573-2026")</f>
        <v/>
      </c>
      <c r="W6">
        <f>HYPERLINK("https://klasma.github.io/Logging_1761/kartor/A 3573-2026 karta.png", "A 3573-2026")</f>
        <v/>
      </c>
      <c r="X6">
        <f>HYPERLINK("https://klasma.github.io/Logging_1761/knärot/A 3573-2026 karta knärot.png", "A 3573-2026")</f>
        <v/>
      </c>
      <c r="Y6">
        <f>HYPERLINK("https://klasma.github.io/Logging_1761/klagomål/A 3573-2026 FSC-klagomål.docx", "A 3573-2026")</f>
        <v/>
      </c>
      <c r="Z6">
        <f>HYPERLINK("https://klasma.github.io/Logging_1761/klagomålsmail/A 3573-2026 FSC-klagomål mail.docx", "A 3573-2026")</f>
        <v/>
      </c>
      <c r="AA6">
        <f>HYPERLINK("https://klasma.github.io/Logging_1761/tillsyn/A 3573-2026 tillsynsbegäran.docx", "A 3573-2026")</f>
        <v/>
      </c>
      <c r="AB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46219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s="2" t="inlineStr">
        <is>
          <t>Knärot
Blå taggsvamp
Gropticka
Motaggsvamp
Gullgröppa</t>
        </is>
      </c>
      <c r="V7">
        <f>HYPERLINK("https://klasma.github.io/Logging_1761/artfynd/A 61380-2023 artfynd.xlsx", "A 61380-2023")</f>
        <v/>
      </c>
      <c r="W7">
        <f>HYPERLINK("https://klasma.github.io/Logging_1761/kartor/A 61380-2023 karta.png", "A 61380-2023")</f>
        <v/>
      </c>
      <c r="X7">
        <f>HYPERLINK("https://klasma.github.io/Logging_1761/knärot/A 61380-2023 karta knärot.png", "A 61380-2023")</f>
        <v/>
      </c>
      <c r="Y7">
        <f>HYPERLINK("https://klasma.github.io/Logging_1761/klagomål/A 61380-2023 FSC-klagomål.docx", "A 61380-2023")</f>
        <v/>
      </c>
      <c r="Z7">
        <f>HYPERLINK("https://klasma.github.io/Logging_1761/klagomålsmail/A 61380-2023 FSC-klagomål mail.docx", "A 61380-2023")</f>
        <v/>
      </c>
      <c r="AA7">
        <f>HYPERLINK("https://klasma.github.io/Logging_1761/tillsyn/A 61380-2023 tillsynsbegäran.docx", "A 61380-2023")</f>
        <v/>
      </c>
      <c r="AB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46219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s="2" t="inlineStr">
        <is>
          <t>Långskägg
Knärot
Motaggsvamp
Tjäder
Kungsfågel</t>
        </is>
      </c>
      <c r="V8">
        <f>HYPERLINK("https://klasma.github.io/Logging_1761/artfynd/A 47571-2025 artfynd.xlsx", "A 47571-2025")</f>
        <v/>
      </c>
      <c r="W8">
        <f>HYPERLINK("https://klasma.github.io/Logging_1761/kartor/A 47571-2025 karta.png", "A 47571-2025")</f>
        <v/>
      </c>
      <c r="X8">
        <f>HYPERLINK("https://klasma.github.io/Logging_1761/knärot/A 47571-2025 karta knärot.png", "A 47571-2025")</f>
        <v/>
      </c>
      <c r="Y8">
        <f>HYPERLINK("https://klasma.github.io/Logging_1761/klagomål/A 47571-2025 FSC-klagomål.docx", "A 47571-2025")</f>
        <v/>
      </c>
      <c r="Z8">
        <f>HYPERLINK("https://klasma.github.io/Logging_1761/klagomålsmail/A 47571-2025 FSC-klagomål mail.docx", "A 47571-2025")</f>
        <v/>
      </c>
      <c r="AA8">
        <f>HYPERLINK("https://klasma.github.io/Logging_1761/tillsyn/A 47571-2025 tillsynsbegäran.docx", "A 47571-2025")</f>
        <v/>
      </c>
      <c r="AB8">
        <f>HYPERLINK("https://klasma.github.io/Logging_1761/tillsynsmail/A 47571-2025 tillsynsbegäran mail.docx", "A 47571-2025")</f>
        <v/>
      </c>
      <c r="AC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46219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s="2" t="inlineStr">
        <is>
          <t>Knärot
Tretåig hackspett
Spillkråka</t>
        </is>
      </c>
      <c r="V9">
        <f>HYPERLINK("https://klasma.github.io/Logging_1761/artfynd/A 24616-2022 artfynd.xlsx", "A 24616-2022")</f>
        <v/>
      </c>
      <c r="W9">
        <f>HYPERLINK("https://klasma.github.io/Logging_1761/kartor/A 24616-2022 karta.png", "A 24616-2022")</f>
        <v/>
      </c>
      <c r="X9">
        <f>HYPERLINK("https://klasma.github.io/Logging_1761/knärot/A 24616-2022 karta knärot.png", "A 24616-2022")</f>
        <v/>
      </c>
      <c r="Y9">
        <f>HYPERLINK("https://klasma.github.io/Logging_1761/klagomål/A 24616-2022 FSC-klagomål.docx", "A 24616-2022")</f>
        <v/>
      </c>
      <c r="Z9">
        <f>HYPERLINK("https://klasma.github.io/Logging_1761/klagomålsmail/A 24616-2022 FSC-klagomål mail.docx", "A 24616-2022")</f>
        <v/>
      </c>
      <c r="AA9">
        <f>HYPERLINK("https://klasma.github.io/Logging_1761/tillsyn/A 24616-2022 tillsynsbegäran.docx", "A 24616-2022")</f>
        <v/>
      </c>
      <c r="AB9">
        <f>HYPERLINK("https://klasma.github.io/Logging_1761/tillsynsmail/A 24616-2022 tillsynsbegäran mail.docx", "A 24616-2022")</f>
        <v/>
      </c>
      <c r="AC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46219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Svart skogssnigel
Spillkråka</t>
        </is>
      </c>
      <c r="V10">
        <f>HYPERLINK("https://klasma.github.io/Logging_1761/artfynd/A 24618-2022 artfynd.xlsx", "A 24618-2022")</f>
        <v/>
      </c>
      <c r="W10">
        <f>HYPERLINK("https://klasma.github.io/Logging_1761/kartor/A 24618-2022 karta.png", "A 24618-2022")</f>
        <v/>
      </c>
      <c r="X10">
        <f>HYPERLINK("https://klasma.github.io/Logging_1761/knärot/A 24618-2022 karta knärot.png", "A 24618-2022")</f>
        <v/>
      </c>
      <c r="Y10">
        <f>HYPERLINK("https://klasma.github.io/Logging_1761/klagomål/A 24618-2022 FSC-klagomål.docx", "A 24618-2022")</f>
        <v/>
      </c>
      <c r="Z10">
        <f>HYPERLINK("https://klasma.github.io/Logging_1761/klagomålsmail/A 24618-2022 FSC-klagomål mail.docx", "A 24618-2022")</f>
        <v/>
      </c>
      <c r="AA10">
        <f>HYPERLINK("https://klasma.github.io/Logging_1761/tillsyn/A 24618-2022 tillsynsbegäran.docx", "A 24618-2022")</f>
        <v/>
      </c>
      <c r="AB10">
        <f>HYPERLINK("https://klasma.github.io/Logging_1761/tillsynsmail/A 24618-2022 tillsynsbegäran mail.docx", "A 24618-2022")</f>
        <v/>
      </c>
      <c r="AC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46219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HYPERLINK("https://klasma.github.io/Logging_1761/knärot/S 3217-2025 karta knärot.png", "S 3217-2025")</f>
        <v/>
      </c>
      <c r="Y11">
        <f>HYPERLINK("https://klasma.github.io/Logging_1761/klagomål/S 3217-2025 FSC-klagomål.docx", "S 3217-2025")</f>
        <v/>
      </c>
      <c r="Z11">
        <f>HYPERLINK("https://klasma.github.io/Logging_1761/klagomålsmail/S 3217-2025 FSC-klagomål mail.docx", "S 3217-2025")</f>
        <v/>
      </c>
      <c r="AA11">
        <f>HYPERLINK("https://klasma.github.io/Logging_1761/tillsyn/S 3217-2025 tillsynsbegäran.docx", "S 3217-2025")</f>
        <v/>
      </c>
      <c r="AB11">
        <f>HYPERLINK("https://klasma.github.io/Logging_1761/tillsynsmail/S 3217-2025 tillsynsbegäran mail.docx", "S 3217-2025")</f>
        <v/>
      </c>
      <c r="AC11">
        <f>HYPERLINK("https://klasma.github.io/Logging_1761/fåglar/S 3217-2025 prioriterade fågelarter.docx", "S 3217-2025")</f>
        <v/>
      </c>
    </row>
    <row r="12" ht="15" customHeight="1">
      <c r="A12" t="inlineStr">
        <is>
          <t>A 53276-2023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45229</v>
      </c>
      <c r="E12" s="1" t="n">
        <v>46219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0.3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Vanlig groda</t>
        </is>
      </c>
      <c r="V12">
        <f>HYPERLINK("https://klasma.github.io/Logging_1761/artfynd/A 53276-2023 artfynd.xlsx", "A 53276-2023")</f>
        <v/>
      </c>
      <c r="W12">
        <f>HYPERLINK("https://klasma.github.io/Logging_1761/kartor/A 53276-2023 karta.png", "A 53276-2023")</f>
        <v/>
      </c>
      <c r="Y12">
        <f>HYPERLINK("https://klasma.github.io/Logging_1761/klagomål/A 53276-2023 FSC-klagomål.docx", "A 53276-2023")</f>
        <v/>
      </c>
      <c r="Z12">
        <f>HYPERLINK("https://klasma.github.io/Logging_1761/klagomålsmail/A 53276-2023 FSC-klagomål mail.docx", "A 53276-2023")</f>
        <v/>
      </c>
      <c r="AA12">
        <f>HYPERLINK("https://klasma.github.io/Logging_1761/tillsyn/A 53276-2023 tillsynsbegäran.docx", "A 53276-2023")</f>
        <v/>
      </c>
      <c r="AB12">
        <f>HYPERLINK("https://klasma.github.io/Logging_1761/tillsynsmail/A 53276-2023 tillsynsbegäran mail.docx", "A 53276-2023")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46219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s="2" t="inlineStr">
        <is>
          <t>Knärot</t>
        </is>
      </c>
      <c r="V13">
        <f>HYPERLINK("https://klasma.github.io/Logging_1761/artfynd/A 58382-2024 artfynd.xlsx", "A 58382-2024")</f>
        <v/>
      </c>
      <c r="W13">
        <f>HYPERLINK("https://klasma.github.io/Logging_1761/kartor/A 58382-2024 karta.png", "A 58382-2024")</f>
        <v/>
      </c>
      <c r="X13">
        <f>HYPERLINK("https://klasma.github.io/Logging_1761/knärot/A 58382-2024 karta knärot.png", "A 58382-2024")</f>
        <v/>
      </c>
      <c r="Y13">
        <f>HYPERLINK("https://klasma.github.io/Logging_1761/klagomål/A 58382-2024 FSC-klagomål.docx", "A 58382-2024")</f>
        <v/>
      </c>
      <c r="Z13">
        <f>HYPERLINK("https://klasma.github.io/Logging_1761/klagomålsmail/A 58382-2024 FSC-klagomål mail.docx", "A 58382-2024")</f>
        <v/>
      </c>
      <c r="AA13">
        <f>HYPERLINK("https://klasma.github.io/Logging_1761/tillsyn/A 58382-2024 tillsynsbegäran.docx", "A 58382-2024")</f>
        <v/>
      </c>
      <c r="AB13">
        <f>HYPERLINK("https://klasma.github.io/Logging_1761/tillsynsmail/A 58382-2024 tillsynsbegäran mail.docx", "A 58382-2024")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46219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Grönsiska</t>
        </is>
      </c>
      <c r="V14">
        <f>HYPERLINK("https://klasma.github.io/Logging_1761/artfynd/A 41899-2023 artfynd.xlsx", "A 41899-2023")</f>
        <v/>
      </c>
      <c r="W14">
        <f>HYPERLINK("https://klasma.github.io/Logging_1761/kartor/A 41899-2023 karta.png", "A 41899-2023")</f>
        <v/>
      </c>
      <c r="Y14">
        <f>HYPERLINK("https://klasma.github.io/Logging_1761/klagomål/A 41899-2023 FSC-klagomål.docx", "A 41899-2023")</f>
        <v/>
      </c>
      <c r="Z14">
        <f>HYPERLINK("https://klasma.github.io/Logging_1761/klagomålsmail/A 41899-2023 FSC-klagomål mail.docx", "A 41899-2023")</f>
        <v/>
      </c>
      <c r="AA14">
        <f>HYPERLINK("https://klasma.github.io/Logging_1761/tillsyn/A 41899-2023 tillsynsbegäran.docx", "A 41899-2023")</f>
        <v/>
      </c>
      <c r="AB14">
        <f>HYPERLINK("https://klasma.github.io/Logging_1761/tillsynsmail/A 41899-2023 tillsynsbegäran mail.docx", "A 41899-2023")</f>
        <v/>
      </c>
    </row>
    <row r="15" ht="15" customHeight="1">
      <c r="A15" t="inlineStr">
        <is>
          <t>A 55068-2023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46219</v>
      </c>
      <c r="F15" t="inlineStr">
        <is>
          <t>VÄRMLANDS LÄN</t>
        </is>
      </c>
      <c r="G15" t="inlineStr">
        <is>
          <t>HAMMARÖ</t>
        </is>
      </c>
      <c r="H15" t="inlineStr">
        <is>
          <t>Kommuner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Motaggsvamp</t>
        </is>
      </c>
      <c r="V15">
        <f>HYPERLINK("https://klasma.github.io/Logging_1761/artfynd/A 55068-2023 artfynd.xlsx", "A 55068-2023")</f>
        <v/>
      </c>
      <c r="W15">
        <f>HYPERLINK("https://klasma.github.io/Logging_1761/kartor/A 55068-2023 karta.png", "A 55068-2023")</f>
        <v/>
      </c>
      <c r="Y15">
        <f>HYPERLINK("https://klasma.github.io/Logging_1761/klagomål/A 55068-2023 FSC-klagomål.docx", "A 55068-2023")</f>
        <v/>
      </c>
      <c r="Z15">
        <f>HYPERLINK("https://klasma.github.io/Logging_1761/klagomålsmail/A 55068-2023 FSC-klagomål mail.docx", "A 55068-2023")</f>
        <v/>
      </c>
      <c r="AA15">
        <f>HYPERLINK("https://klasma.github.io/Logging_1761/tillsyn/A 55068-2023 tillsynsbegäran.docx", "A 55068-2023")</f>
        <v/>
      </c>
      <c r="AB15">
        <f>HYPERLINK("https://klasma.github.io/Logging_1761/tillsynsmail/A 55068-2023 tillsynsbegäran mail.docx", "A 55068-2023")</f>
        <v/>
      </c>
    </row>
    <row r="16" ht="15" customHeight="1">
      <c r="A16" t="inlineStr">
        <is>
          <t>A 2769-2023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44944</v>
      </c>
      <c r="E16" s="1" t="n">
        <v>46219</v>
      </c>
      <c r="F16" t="inlineStr">
        <is>
          <t>VÄRMLANDS LÄN</t>
        </is>
      </c>
      <c r="G16" t="inlineStr">
        <is>
          <t>HAMMARÖ</t>
        </is>
      </c>
      <c r="I16" t="n">
        <v>8.699999999999999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s="2" t="inlineStr">
        <is>
          <t>Motaggsvamp</t>
        </is>
      </c>
      <c r="V16">
        <f>HYPERLINK("https://klasma.github.io/Logging_1761/artfynd/A 2769-2023 artfynd.xlsx", "A 2769-2023")</f>
        <v/>
      </c>
      <c r="W16">
        <f>HYPERLINK("https://klasma.github.io/Logging_1761/kartor/A 2769-2023 karta.png", "A 2769-2023")</f>
        <v/>
      </c>
      <c r="Y16">
        <f>HYPERLINK("https://klasma.github.io/Logging_1761/klagomål/A 2769-2023 FSC-klagomål.docx", "A 2769-2023")</f>
        <v/>
      </c>
      <c r="Z16">
        <f>HYPERLINK("https://klasma.github.io/Logging_1761/klagomålsmail/A 2769-2023 FSC-klagomål mail.docx", "A 2769-2023")</f>
        <v/>
      </c>
      <c r="AA16">
        <f>HYPERLINK("https://klasma.github.io/Logging_1761/tillsyn/A 2769-2023 tillsynsbegäran.docx", "A 2769-2023")</f>
        <v/>
      </c>
      <c r="AB16">
        <f>HYPERLINK("https://klasma.github.io/Logging_1761/tillsynsmail/A 2769-2023 tillsynsbegäran mail.docx", "A 2769-2023")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46219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57893-2023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45247</v>
      </c>
      <c r="E18" s="1" t="n">
        <v>46219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37934-2024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45544</v>
      </c>
      <c r="E19" s="1" t="n">
        <v>46219</v>
      </c>
      <c r="F19" t="inlineStr">
        <is>
          <t>VÄRMLANDS LÄN</t>
        </is>
      </c>
      <c r="G19" t="inlineStr">
        <is>
          <t>HAMMARÖ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42957-2023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45182</v>
      </c>
      <c r="E20" s="1" t="n">
        <v>46219</v>
      </c>
      <c r="F20" t="inlineStr">
        <is>
          <t>VÄRMLANDS LÄN</t>
        </is>
      </c>
      <c r="G20" t="inlineStr">
        <is>
          <t>HAMMARÖ</t>
        </is>
      </c>
      <c r="H20" t="inlineStr">
        <is>
          <t>Övriga Aktiebolag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51008-2023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45218</v>
      </c>
      <c r="E21" s="1" t="n">
        <v>46219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46219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41895-2023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46219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46219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58383-2024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46219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53369-2024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46219</v>
      </c>
      <c r="F26" t="inlineStr">
        <is>
          <t>VÄRMLANDS LÄN</t>
        </is>
      </c>
      <c r="G26" t="inlineStr">
        <is>
          <t>HAMMARÖ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13356-2022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46219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42951-2023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46219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46219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42960-2023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46219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46219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55066-2023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46219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46219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2026-07-16T01:24:16Z</dcterms:created>
  <dcterms:modified xmlns:dcterms="http://purl.org/dc/terms/" xmlns:xsi="http://www.w3.org/2001/XMLSchema-instance" xsi:type="dcterms:W3CDTF">2026-07-16T01:24:16Z</dcterms:modified>
</cp:coreProperties>
</file>