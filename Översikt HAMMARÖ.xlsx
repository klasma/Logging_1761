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45975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45975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45975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45975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45975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45975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45407-2025</t>
        </is>
      </c>
      <c r="B8" s="1" t="n">
        <v>45922.43200231482</v>
      </c>
      <c r="C8" s="1" t="n">
        <v>45975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</row>
    <row r="9" ht="15" customHeight="1">
      <c r="A9" t="inlineStr">
        <is>
          <t>A 7593-2025</t>
        </is>
      </c>
      <c r="B9" s="1" t="n">
        <v>45705</v>
      </c>
      <c r="C9" s="1" t="n">
        <v>45975</v>
      </c>
      <c r="D9" t="inlineStr">
        <is>
          <t>VÄRMLANDS LÄN</t>
        </is>
      </c>
      <c r="E9" t="inlineStr">
        <is>
          <t>HAMMARÖ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Trollpipistrell</t>
        </is>
      </c>
      <c r="S9">
        <f>HYPERLINK("https://klasma.github.io/Logging_1761/artfynd/A 7593-2025 artfynd.xlsx", "A 7593-2025")</f>
        <v/>
      </c>
      <c r="T9">
        <f>HYPERLINK("https://klasma.github.io/Logging_1761/kartor/A 7593-2025 karta.png", "A 7593-2025")</f>
        <v/>
      </c>
      <c r="V9">
        <f>HYPERLINK("https://klasma.github.io/Logging_1761/klagomål/A 7593-2025 FSC-klagomål.docx", "A 7593-2025")</f>
        <v/>
      </c>
      <c r="W9">
        <f>HYPERLINK("https://klasma.github.io/Logging_1761/klagomålsmail/A 7593-2025 FSC-klagomål mail.docx", "A 7593-2025")</f>
        <v/>
      </c>
      <c r="X9">
        <f>HYPERLINK("https://klasma.github.io/Logging_1761/tillsyn/A 7593-2025 tillsynsbegäran.docx", "A 7593-2025")</f>
        <v/>
      </c>
      <c r="Y9">
        <f>HYPERLINK("https://klasma.github.io/Logging_1761/tillsynsmail/A 7593-2025 tillsynsbegäran mail.docx", "A 7593-2025")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45975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58382-2024</t>
        </is>
      </c>
      <c r="B11" s="1" t="n">
        <v>45632</v>
      </c>
      <c r="C11" s="1" t="n">
        <v>45975</v>
      </c>
      <c r="D11" t="inlineStr">
        <is>
          <t>VÄRMLANDS LÄN</t>
        </is>
      </c>
      <c r="E11" t="inlineStr">
        <is>
          <t>HAMMARÖ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58382-2024 artfynd.xlsx", "A 58382-2024")</f>
        <v/>
      </c>
      <c r="T11">
        <f>HYPERLINK("https://klasma.github.io/Logging_1761/kartor/A 58382-2024 karta.png", "A 58382-2024")</f>
        <v/>
      </c>
      <c r="U11">
        <f>HYPERLINK("https://klasma.github.io/Logging_1761/knärot/A 58382-2024 karta knärot.png", "A 58382-2024")</f>
        <v/>
      </c>
      <c r="V11">
        <f>HYPERLINK("https://klasma.github.io/Logging_1761/klagomål/A 58382-2024 FSC-klagomål.docx", "A 58382-2024")</f>
        <v/>
      </c>
      <c r="W11">
        <f>HYPERLINK("https://klasma.github.io/Logging_1761/klagomålsmail/A 58382-2024 FSC-klagomål mail.docx", "A 58382-2024")</f>
        <v/>
      </c>
      <c r="X11">
        <f>HYPERLINK("https://klasma.github.io/Logging_1761/tillsyn/A 58382-2024 tillsynsbegäran.docx", "A 58382-2024")</f>
        <v/>
      </c>
      <c r="Y11">
        <f>HYPERLINK("https://klasma.github.io/Logging_1761/tillsynsmail/A 58382-2024 tillsynsbegäran mail.docx", "A 58382-2024")</f>
        <v/>
      </c>
    </row>
    <row r="12" ht="15" customHeight="1">
      <c r="A12" t="inlineStr">
        <is>
          <t>A 20755-2021</t>
        </is>
      </c>
      <c r="B12" s="1" t="n">
        <v>44316</v>
      </c>
      <c r="C12" s="1" t="n">
        <v>45975</v>
      </c>
      <c r="D12" t="inlineStr">
        <is>
          <t>VÄRMLANDS LÄN</t>
        </is>
      </c>
      <c r="E12" t="inlineStr">
        <is>
          <t>HAMMARÖ</t>
        </is>
      </c>
      <c r="G12" t="n">
        <v>16.8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HYPERLINK("https://klasma.github.io/Logging_1761/artfynd/A 20755-2021 artfynd.xlsx", "A 20755-2021")</f>
        <v/>
      </c>
      <c r="T12">
        <f>HYPERLINK("https://klasma.github.io/Logging_1761/kartor/A 20755-2021 karta.png", "A 20755-2021")</f>
        <v/>
      </c>
      <c r="V12">
        <f>HYPERLINK("https://klasma.github.io/Logging_1761/klagomål/A 20755-2021 FSC-klagomål.docx", "A 20755-2021")</f>
        <v/>
      </c>
      <c r="W12">
        <f>HYPERLINK("https://klasma.github.io/Logging_1761/klagomålsmail/A 20755-2021 FSC-klagomål mail.docx", "A 20755-2021")</f>
        <v/>
      </c>
      <c r="X12">
        <f>HYPERLINK("https://klasma.github.io/Logging_1761/tillsyn/A 20755-2021 tillsynsbegäran.docx", "A 20755-2021")</f>
        <v/>
      </c>
      <c r="Y12">
        <f>HYPERLINK("https://klasma.github.io/Logging_1761/tillsynsmail/A 20755-2021 tillsynsbegäran mail.docx", "A 20755-2021")</f>
        <v/>
      </c>
      <c r="Z12">
        <f>HYPERLINK("https://klasma.github.io/Logging_1761/fåglar/A 20755-2021 prioriterade fågelarter.docx", "A 20755-2021")</f>
        <v/>
      </c>
    </row>
    <row r="13" ht="15" customHeight="1">
      <c r="A13" t="inlineStr">
        <is>
          <t>A 24618-2022</t>
        </is>
      </c>
      <c r="B13" s="1" t="n">
        <v>44727</v>
      </c>
      <c r="C13" s="1" t="n">
        <v>45975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4.6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HYPERLINK("https://klasma.github.io/Logging_1761/artfynd/A 24618-2022 artfynd.xlsx", "A 24618-2022")</f>
        <v/>
      </c>
      <c r="T13">
        <f>HYPERLINK("https://klasma.github.io/Logging_1761/kartor/A 24618-2022 karta.png", "A 24618-2022")</f>
        <v/>
      </c>
      <c r="U13">
        <f>HYPERLINK("https://klasma.github.io/Logging_1761/knärot/A 24618-2022 karta knärot.png", "A 24618-2022")</f>
        <v/>
      </c>
      <c r="V13">
        <f>HYPERLINK("https://klasma.github.io/Logging_1761/klagomål/A 24618-2022 FSC-klagomål.docx", "A 24618-2022")</f>
        <v/>
      </c>
      <c r="W13">
        <f>HYPERLINK("https://klasma.github.io/Logging_1761/klagomålsmail/A 24618-2022 FSC-klagomål mail.docx", "A 24618-2022")</f>
        <v/>
      </c>
      <c r="X13">
        <f>HYPERLINK("https://klasma.github.io/Logging_1761/tillsyn/A 24618-2022 tillsynsbegäran.docx", "A 24618-2022")</f>
        <v/>
      </c>
      <c r="Y13">
        <f>HYPERLINK("https://klasma.github.io/Logging_1761/tillsynsmail/A 24618-2022 tillsynsbegäran mail.docx", "A 24618-2022")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45975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45975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45975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45975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42957-2023</t>
        </is>
      </c>
      <c r="B18" s="1" t="n">
        <v>45182</v>
      </c>
      <c r="C18" s="1" t="n">
        <v>45975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45975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51008-2023</t>
        </is>
      </c>
      <c r="B20" s="1" t="n">
        <v>45218</v>
      </c>
      <c r="C20" s="1" t="n">
        <v>45975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45975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45975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57893-2023</t>
        </is>
      </c>
      <c r="B23" s="1" t="n">
        <v>45247</v>
      </c>
      <c r="C23" s="1" t="n">
        <v>45975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37934-2024</t>
        </is>
      </c>
      <c r="B24" s="1" t="n">
        <v>45544</v>
      </c>
      <c r="C24" s="1" t="n">
        <v>45975</v>
      </c>
      <c r="D24" t="inlineStr">
        <is>
          <t>VÄRMLANDS LÄN</t>
        </is>
      </c>
      <c r="E24" t="inlineStr">
        <is>
          <t>HAMMARÖ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13356-2022</t>
        </is>
      </c>
      <c r="B25" s="1" t="n">
        <v>44645</v>
      </c>
      <c r="C25" s="1" t="n">
        <v>45975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42951-2023</t>
        </is>
      </c>
      <c r="B26" s="1" t="n">
        <v>45182</v>
      </c>
      <c r="C26" s="1" t="n">
        <v>45975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42955-2023</t>
        </is>
      </c>
      <c r="B27" s="1" t="n">
        <v>45182</v>
      </c>
      <c r="C27" s="1" t="n">
        <v>45975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42960-2023</t>
        </is>
      </c>
      <c r="B28" s="1" t="n">
        <v>45182</v>
      </c>
      <c r="C28" s="1" t="n">
        <v>45975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44894.425625</v>
      </c>
      <c r="C29" s="1" t="n">
        <v>45975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45975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45975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55069-2023</t>
        </is>
      </c>
      <c r="B32" s="1" t="n">
        <v>45237</v>
      </c>
      <c r="C32" s="1" t="n">
        <v>45975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13354-2022</t>
        </is>
      </c>
      <c r="B33" s="1" t="n">
        <v>44645</v>
      </c>
      <c r="C33" s="1" t="n">
        <v>45975</v>
      </c>
      <c r="D33" t="inlineStr">
        <is>
          <t>VÄRMLANDS LÄN</t>
        </is>
      </c>
      <c r="E33" t="inlineStr">
        <is>
          <t>HAMMARÖ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45423-2025</t>
        </is>
      </c>
      <c r="B34" s="1" t="n">
        <v>45922.45137731481</v>
      </c>
      <c r="C34" s="1" t="n">
        <v>45975</v>
      </c>
      <c r="D34" t="inlineStr">
        <is>
          <t>VÄRMLANDS LÄN</t>
        </is>
      </c>
      <c r="E34" t="inlineStr">
        <is>
          <t>HAMMARÖ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10793-2025</t>
        </is>
      </c>
      <c r="B35" s="1" t="n">
        <v>45722</v>
      </c>
      <c r="C35" s="1" t="n">
        <v>45975</v>
      </c>
      <c r="D35" t="inlineStr">
        <is>
          <t>VÄRMLANDS LÄN</t>
        </is>
      </c>
      <c r="E35" t="inlineStr">
        <is>
          <t>HAMMARÖ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41661-2025</t>
        </is>
      </c>
      <c r="B36" s="1" t="n">
        <v>45902</v>
      </c>
      <c r="C36" s="1" t="n">
        <v>45975</v>
      </c>
      <c r="D36" t="inlineStr">
        <is>
          <t>VÄRMLANDS LÄN</t>
        </is>
      </c>
      <c r="E36" t="inlineStr">
        <is>
          <t>HAMMARÖ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55066-2023</t>
        </is>
      </c>
      <c r="B37" s="1" t="n">
        <v>45237</v>
      </c>
      <c r="C37" s="1" t="n">
        <v>45975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2769-2023</t>
        </is>
      </c>
      <c r="B38" s="1" t="n">
        <v>44944</v>
      </c>
      <c r="C38" s="1" t="n">
        <v>45975</v>
      </c>
      <c r="D38" t="inlineStr">
        <is>
          <t>VÄRMLANDS LÄN</t>
        </is>
      </c>
      <c r="E38" t="inlineStr">
        <is>
          <t>HAMMARÖ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2025-11-14T10:09:25Z</dcterms:created>
  <dcterms:modified xmlns:dcterms="http://purl.org/dc/terms/" xmlns:xsi="http://www.w3.org/2001/XMLSchema-instance" xsi:type="dcterms:W3CDTF">2025-11-14T10:09:25Z</dcterms:modified>
</cp:coreProperties>
</file>