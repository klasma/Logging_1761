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s="2" t="inlineStr">
        <is>
          <t>Knärot
Jättesvampmal
Åkergroda
Vanlig groda
Vanlig padda</t>
        </is>
      </c>
      <c r="V6">
        <f>HYPERLINK("https://klasma.github.io/Logging_1761/artfynd/A 3573-2026 artfynd.xlsx", "A 3573-2026")</f>
        <v/>
      </c>
      <c r="W6">
        <f>HYPERLINK("https://klasma.github.io/Logging_1761/kartor/A 3573-2026 karta.png", "A 3573-2026")</f>
        <v/>
      </c>
      <c r="X6">
        <f>HYPERLINK("https://klasma.github.io/Logging_1761/knärot/A 3573-2026 karta knärot.png", "A 3573-2026")</f>
        <v/>
      </c>
      <c r="Y6">
        <f>HYPERLINK("https://klasma.github.io/Logging_1761/klagomål/A 3573-2026 FSC-klagomål.docx", "A 3573-2026")</f>
        <v/>
      </c>
      <c r="Z6">
        <f>HYPERLINK("https://klasma.github.io/Logging_1761/klagomålsmail/A 3573-2026 FSC-klagomål mail.docx", "A 3573-2026")</f>
        <v/>
      </c>
      <c r="AA6">
        <f>HYPERLINK("https://klasma.github.io/Logging_1761/tillsyn/A 3573-2026 tillsynsbegäran.docx", "A 3573-2026")</f>
        <v/>
      </c>
      <c r="AB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s="2" t="inlineStr">
        <is>
          <t>Långskägg
Knärot
Motaggsvamp
Tjäder
Kungsfågel</t>
        </is>
      </c>
      <c r="V7">
        <f>HYPERLINK("https://klasma.github.io/Logging_1761/artfynd/A 47571-2025 artfynd.xlsx", "A 47571-2025")</f>
        <v/>
      </c>
      <c r="W7">
        <f>HYPERLINK("https://klasma.github.io/Logging_1761/kartor/A 47571-2025 karta.png", "A 47571-2025")</f>
        <v/>
      </c>
      <c r="X7">
        <f>HYPERLINK("https://klasma.github.io/Logging_1761/knärot/A 47571-2025 karta knärot.png", "A 47571-2025")</f>
        <v/>
      </c>
      <c r="Y7">
        <f>HYPERLINK("https://klasma.github.io/Logging_1761/klagomål/A 47571-2025 FSC-klagomål.docx", "A 47571-2025")</f>
        <v/>
      </c>
      <c r="Z7">
        <f>HYPERLINK("https://klasma.github.io/Logging_1761/klagomålsmail/A 47571-2025 FSC-klagomål mail.docx", "A 47571-2025")</f>
        <v/>
      </c>
      <c r="AA7">
        <f>HYPERLINK("https://klasma.github.io/Logging_1761/tillsyn/A 47571-2025 tillsynsbegäran.docx", "A 47571-2025")</f>
        <v/>
      </c>
      <c r="AB7">
        <f>HYPERLINK("https://klasma.github.io/Logging_1761/tillsynsmail/A 47571-2025 tillsynsbegäran mail.docx", "A 47571-2025")</f>
        <v/>
      </c>
      <c r="AC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46221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s="2" t="inlineStr">
        <is>
          <t>Knärot
Blå taggsvamp
Gropticka
Motaggsvamp
Gullgröppa</t>
        </is>
      </c>
      <c r="V8">
        <f>HYPERLINK("https://klasma.github.io/Logging_1761/artfynd/A 61380-2023 artfynd.xlsx", "A 61380-2023")</f>
        <v/>
      </c>
      <c r="W8">
        <f>HYPERLINK("https://klasma.github.io/Logging_1761/kartor/A 61380-2023 karta.png", "A 61380-2023")</f>
        <v/>
      </c>
      <c r="X8">
        <f>HYPERLINK("https://klasma.github.io/Logging_1761/knärot/A 61380-2023 karta knärot.png", "A 61380-2023")</f>
        <v/>
      </c>
      <c r="Y8">
        <f>HYPERLINK("https://klasma.github.io/Logging_1761/klagomål/A 61380-2023 FSC-klagomål.docx", "A 61380-2023")</f>
        <v/>
      </c>
      <c r="Z8">
        <f>HYPERLINK("https://klasma.github.io/Logging_1761/klagomålsmail/A 61380-2023 FSC-klagomål mail.docx", "A 61380-2023")</f>
        <v/>
      </c>
      <c r="AA8">
        <f>HYPERLINK("https://klasma.github.io/Logging_1761/tillsyn/A 61380-2023 tillsynsbegäran.docx", "A 61380-2023")</f>
        <v/>
      </c>
      <c r="AB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46221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s="2" t="inlineStr">
        <is>
          <t>Knärot</t>
        </is>
      </c>
      <c r="V12">
        <f>HYPERLINK("https://klasma.github.io/Logging_1761/artfynd/A 58382-2024 artfynd.xlsx", "A 58382-2024")</f>
        <v/>
      </c>
      <c r="W12">
        <f>HYPERLINK("https://klasma.github.io/Logging_1761/kartor/A 58382-2024 karta.png", "A 58382-2024")</f>
        <v/>
      </c>
      <c r="X12">
        <f>HYPERLINK("https://klasma.github.io/Logging_1761/knärot/A 58382-2024 karta knärot.png", "A 58382-2024")</f>
        <v/>
      </c>
      <c r="Y12">
        <f>HYPERLINK("https://klasma.github.io/Logging_1761/klagomål/A 58382-2024 FSC-klagomål.docx", "A 58382-2024")</f>
        <v/>
      </c>
      <c r="Z12">
        <f>HYPERLINK("https://klasma.github.io/Logging_1761/klagomålsmail/A 58382-2024 FSC-klagomål mail.docx", "A 58382-2024")</f>
        <v/>
      </c>
      <c r="AA12">
        <f>HYPERLINK("https://klasma.github.io/Logging_1761/tillsyn/A 58382-2024 tillsynsbegäran.docx", "A 58382-2024")</f>
        <v/>
      </c>
      <c r="AB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46221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Grönsiska</t>
        </is>
      </c>
      <c r="V13">
        <f>HYPERLINK("https://klasma.github.io/Logging_1761/artfynd/A 41899-2023 artfynd.xlsx", "A 41899-2023")</f>
        <v/>
      </c>
      <c r="W13">
        <f>HYPERLINK("https://klasma.github.io/Logging_1761/kartor/A 41899-2023 karta.png", "A 41899-2023")</f>
        <v/>
      </c>
      <c r="Y13">
        <f>HYPERLINK("https://klasma.github.io/Logging_1761/klagomål/A 41899-2023 FSC-klagomål.docx", "A 41899-2023")</f>
        <v/>
      </c>
      <c r="Z13">
        <f>HYPERLINK("https://klasma.github.io/Logging_1761/klagomålsmail/A 41899-2023 FSC-klagomål mail.docx", "A 41899-2023")</f>
        <v/>
      </c>
      <c r="AA13">
        <f>HYPERLINK("https://klasma.github.io/Logging_1761/tillsyn/A 41899-2023 tillsynsbegäran.docx", "A 41899-2023")</f>
        <v/>
      </c>
      <c r="AB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HYPERLINK("https://klasma.github.io/Logging_1761/artfynd/A 55068-2023 artfynd.xlsx", "A 55068-2023")</f>
        <v/>
      </c>
      <c r="W14">
        <f>HYPERLINK("https://klasma.github.io/Logging_1761/kartor/A 55068-2023 karta.png", "A 55068-2023")</f>
        <v/>
      </c>
      <c r="Y14">
        <f>HYPERLINK("https://klasma.github.io/Logging_1761/klagomål/A 55068-2023 FSC-klagomål.docx", "A 55068-2023")</f>
        <v/>
      </c>
      <c r="Z14">
        <f>HYPERLINK("https://klasma.github.io/Logging_1761/klagomålsmail/A 55068-2023 FSC-klagomål mail.docx", "A 55068-2023")</f>
        <v/>
      </c>
      <c r="AA14">
        <f>HYPERLINK("https://klasma.github.io/Logging_1761/tillsyn/A 55068-2023 tillsynsbegäran.docx", "A 55068-2023")</f>
        <v/>
      </c>
      <c r="AB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Y15">
        <f>HYPERLINK("https://klasma.github.io/Logging_1761/klagomål/A 2769-2023 FSC-klagomål.docx", "A 2769-2023")</f>
        <v/>
      </c>
      <c r="Z15">
        <f>HYPERLINK("https://klasma.github.io/Logging_1761/klagomålsmail/A 2769-2023 FSC-klagomål mail.docx", "A 2769-2023")</f>
        <v/>
      </c>
      <c r="AA15">
        <f>HYPERLINK("https://klasma.github.io/Logging_1761/tillsyn/A 2769-2023 tillsynsbegäran.docx", "A 2769-2023")</f>
        <v/>
      </c>
      <c r="AB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46221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groda</t>
        </is>
      </c>
      <c r="V16">
        <f>HYPERLINK("https://klasma.github.io/Logging_1761/artfynd/A 53276-2023 artfynd.xlsx", "A 53276-2023")</f>
        <v/>
      </c>
      <c r="W16">
        <f>HYPERLINK("https://klasma.github.io/Logging_1761/kartor/A 53276-2023 karta.png", "A 53276-2023")</f>
        <v/>
      </c>
      <c r="Y16">
        <f>HYPERLINK("https://klasma.github.io/Logging_1761/klagomål/A 53276-2023 FSC-klagomål.docx", "A 53276-2023")</f>
        <v/>
      </c>
      <c r="Z16">
        <f>HYPERLINK("https://klasma.github.io/Logging_1761/klagomålsmail/A 53276-2023 FSC-klagomål mail.docx", "A 53276-2023")</f>
        <v/>
      </c>
      <c r="AA16">
        <f>HYPERLINK("https://klasma.github.io/Logging_1761/tillsyn/A 53276-2023 tillsynsbegäran.docx", "A 53276-2023")</f>
        <v/>
      </c>
      <c r="AB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46221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46221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46221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46221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46221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46221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46221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46221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46221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46221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2026-07-18T01:24:38Z</dcterms:created>
  <dcterms:modified xmlns:dcterms="http://purl.org/dc/terms/" xmlns:xsi="http://www.w3.org/2001/XMLSchema-instance" xsi:type="dcterms:W3CDTF">2026-07-18T01:24:38Z</dcterms:modified>
</cp:coreProperties>
</file>