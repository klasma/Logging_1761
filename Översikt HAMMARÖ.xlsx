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45258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24618-2022</t>
        </is>
      </c>
      <c r="B3" s="1" t="n">
        <v>44727</v>
      </c>
      <c r="C3" s="1" t="n">
        <v>45258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4.6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HYPERLINK("https://klasma.github.io/Logging_1761/artfynd/A 24618-2022 artfynd.xlsx", "A 24618-2022")</f>
        <v/>
      </c>
      <c r="T3">
        <f>HYPERLINK("https://klasma.github.io/Logging_1761/kartor/A 24618-2022 karta.png", "A 24618-2022")</f>
        <v/>
      </c>
      <c r="U3">
        <f>HYPERLINK("https://klasma.github.io/Logging_1761/knärot/A 24618-2022 karta knärot.png", "A 24618-2022")</f>
        <v/>
      </c>
      <c r="V3">
        <f>HYPERLINK("https://klasma.github.io/Logging_1761/klagomål/A 24618-2022 FSC-klagomål.docx", "A 24618-2022")</f>
        <v/>
      </c>
      <c r="W3">
        <f>HYPERLINK("https://klasma.github.io/Logging_1761/klagomålsmail/A 24618-2022 FSC-klagomål mail.docx", "A 24618-2022")</f>
        <v/>
      </c>
      <c r="X3">
        <f>HYPERLINK("https://klasma.github.io/Logging_1761/tillsyn/A 24618-2022 tillsynsbegäran.docx", "A 24618-2022")</f>
        <v/>
      </c>
      <c r="Y3">
        <f>HYPERLINK("https://klasma.github.io/Logging_1761/tillsynsmail/A 24618-2022 tillsynsbegäran mail.docx", "A 24618-2022")</f>
        <v/>
      </c>
    </row>
    <row r="4" ht="15" customHeight="1">
      <c r="A4" t="inlineStr">
        <is>
          <t>A 55068-2023</t>
        </is>
      </c>
      <c r="B4" s="1" t="n">
        <v>45237</v>
      </c>
      <c r="C4" s="1" t="n">
        <v>45258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2.4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Motaggsvamp</t>
        </is>
      </c>
      <c r="S4">
        <f>HYPERLINK("https://klasma.github.io/Logging_1761/artfynd/A 55068-2023 artfynd.xlsx", "A 55068-2023")</f>
        <v/>
      </c>
      <c r="T4">
        <f>HYPERLINK("https://klasma.github.io/Logging_1761/kartor/A 55068-2023 karta.png", "A 55068-2023")</f>
        <v/>
      </c>
      <c r="V4">
        <f>HYPERLINK("https://klasma.github.io/Logging_1761/klagomål/A 55068-2023 FSC-klagomål.docx", "A 55068-2023")</f>
        <v/>
      </c>
      <c r="W4">
        <f>HYPERLINK("https://klasma.github.io/Logging_1761/klagomålsmail/A 55068-2023 FSC-klagomål mail.docx", "A 55068-2023")</f>
        <v/>
      </c>
      <c r="X4">
        <f>HYPERLINK("https://klasma.github.io/Logging_1761/tillsyn/A 55068-2023 tillsynsbegäran.docx", "A 55068-2023")</f>
        <v/>
      </c>
      <c r="Y4">
        <f>HYPERLINK("https://klasma.github.io/Logging_1761/tillsynsmail/A 55068-2023 tillsynsbegäran mail.docx", "A 55068-2023")</f>
        <v/>
      </c>
    </row>
    <row r="5" ht="15" customHeight="1">
      <c r="A5" t="inlineStr">
        <is>
          <t>A 60674-2018</t>
        </is>
      </c>
      <c r="B5" s="1" t="n">
        <v>43409</v>
      </c>
      <c r="C5" s="1" t="n">
        <v>45258</v>
      </c>
      <c r="D5" t="inlineStr">
        <is>
          <t>VÄRMLANDS LÄN</t>
        </is>
      </c>
      <c r="E5" t="inlineStr">
        <is>
          <t>HAMMARÖ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67502-2018</t>
        </is>
      </c>
      <c r="B6" s="1" t="n">
        <v>43439</v>
      </c>
      <c r="C6" s="1" t="n">
        <v>45258</v>
      </c>
      <c r="D6" t="inlineStr">
        <is>
          <t>VÄRMLANDS LÄN</t>
        </is>
      </c>
      <c r="E6" t="inlineStr">
        <is>
          <t>HAMMARÖ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23183-2020</t>
        </is>
      </c>
      <c r="B7" s="1" t="n">
        <v>43966</v>
      </c>
      <c r="C7" s="1" t="n">
        <v>45258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54326-2020</t>
        </is>
      </c>
      <c r="B8" s="1" t="n">
        <v>44126</v>
      </c>
      <c r="C8" s="1" t="n">
        <v>45258</v>
      </c>
      <c r="D8" t="inlineStr">
        <is>
          <t>VÄRMLANDS LÄN</t>
        </is>
      </c>
      <c r="E8" t="inlineStr">
        <is>
          <t>HAMMARÖ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62456-2020</t>
        </is>
      </c>
      <c r="B9" s="1" t="n">
        <v>44160</v>
      </c>
      <c r="C9" s="1" t="n">
        <v>45258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62608-2020</t>
        </is>
      </c>
      <c r="B10" s="1" t="n">
        <v>44161</v>
      </c>
      <c r="C10" s="1" t="n">
        <v>45258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5072-2021</t>
        </is>
      </c>
      <c r="B11" s="1" t="n">
        <v>44228</v>
      </c>
      <c r="C11" s="1" t="n">
        <v>45258</v>
      </c>
      <c r="D11" t="inlineStr">
        <is>
          <t>VÄRMLANDS LÄN</t>
        </is>
      </c>
      <c r="E11" t="inlineStr">
        <is>
          <t>HAMMARÖ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16890-2021</t>
        </is>
      </c>
      <c r="B12" s="1" t="n">
        <v>44295</v>
      </c>
      <c r="C12" s="1" t="n">
        <v>45258</v>
      </c>
      <c r="D12" t="inlineStr">
        <is>
          <t>VÄRMLANDS LÄN</t>
        </is>
      </c>
      <c r="E12" t="inlineStr">
        <is>
          <t>HAMMARÖ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20755-2021</t>
        </is>
      </c>
      <c r="B13" s="1" t="n">
        <v>44316</v>
      </c>
      <c r="C13" s="1" t="n">
        <v>45258</v>
      </c>
      <c r="D13" t="inlineStr">
        <is>
          <t>VÄRMLANDS LÄN</t>
        </is>
      </c>
      <c r="E13" t="inlineStr">
        <is>
          <t>HAMMARÖ</t>
        </is>
      </c>
      <c r="G13" t="n">
        <v>16.8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43631-2021</t>
        </is>
      </c>
      <c r="B14" s="1" t="n">
        <v>44433</v>
      </c>
      <c r="C14" s="1" t="n">
        <v>45258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45258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68622-2021</t>
        </is>
      </c>
      <c r="B16" s="1" t="n">
        <v>44529</v>
      </c>
      <c r="C16" s="1" t="n">
        <v>45258</v>
      </c>
      <c r="D16" t="inlineStr">
        <is>
          <t>VÄRMLANDS LÄN</t>
        </is>
      </c>
      <c r="E16" t="inlineStr">
        <is>
          <t>HAMMARÖ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13354-2022</t>
        </is>
      </c>
      <c r="B17" s="1" t="n">
        <v>44645</v>
      </c>
      <c r="C17" s="1" t="n">
        <v>45258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13356-2022</t>
        </is>
      </c>
      <c r="B18" s="1" t="n">
        <v>44645</v>
      </c>
      <c r="C18" s="1" t="n">
        <v>45258</v>
      </c>
      <c r="D18" t="inlineStr">
        <is>
          <t>VÄRMLANDS LÄN</t>
        </is>
      </c>
      <c r="E18" t="inlineStr">
        <is>
          <t>HAMMARÖ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56799-2022</t>
        </is>
      </c>
      <c r="B19" s="1" t="n">
        <v>44894</v>
      </c>
      <c r="C19" s="1" t="n">
        <v>45258</v>
      </c>
      <c r="D19" t="inlineStr">
        <is>
          <t>VÄRMLANDS LÄN</t>
        </is>
      </c>
      <c r="E19" t="inlineStr">
        <is>
          <t>HAMMARÖ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45258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41897-2023</t>
        </is>
      </c>
      <c r="B21" s="1" t="n">
        <v>45176</v>
      </c>
      <c r="C21" s="1" t="n">
        <v>45258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41803-2023</t>
        </is>
      </c>
      <c r="B22" s="1" t="n">
        <v>45176</v>
      </c>
      <c r="C22" s="1" t="n">
        <v>45258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41892-2023</t>
        </is>
      </c>
      <c r="B23" s="1" t="n">
        <v>45176</v>
      </c>
      <c r="C23" s="1" t="n">
        <v>45258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41891-2023</t>
        </is>
      </c>
      <c r="B24" s="1" t="n">
        <v>45176</v>
      </c>
      <c r="C24" s="1" t="n">
        <v>45258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45258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41899-2023</t>
        </is>
      </c>
      <c r="B26" s="1" t="n">
        <v>45176</v>
      </c>
      <c r="C26" s="1" t="n">
        <v>45258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42303-2023</t>
        </is>
      </c>
      <c r="B27" s="1" t="n">
        <v>45180</v>
      </c>
      <c r="C27" s="1" t="n">
        <v>45258</v>
      </c>
      <c r="D27" t="inlineStr">
        <is>
          <t>VÄRMLANDS LÄN</t>
        </is>
      </c>
      <c r="E27" t="inlineStr">
        <is>
          <t>HAMMARÖ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42337-2023</t>
        </is>
      </c>
      <c r="B28" s="1" t="n">
        <v>45180</v>
      </c>
      <c r="C28" s="1" t="n">
        <v>45258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45258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45258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45258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45258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45258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45258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45258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45258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45258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53276-2023</t>
        </is>
      </c>
      <c r="B38" s="1" t="n">
        <v>45229</v>
      </c>
      <c r="C38" s="1" t="n">
        <v>45258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45258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55066-2023</t>
        </is>
      </c>
      <c r="B40" s="1" t="n">
        <v>45237</v>
      </c>
      <c r="C40" s="1" t="n">
        <v>45258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55069-2023</t>
        </is>
      </c>
      <c r="B41" s="1" t="n">
        <v>45237</v>
      </c>
      <c r="C41" s="1" t="n">
        <v>45258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57896-2023</t>
        </is>
      </c>
      <c r="B42" s="1" t="n">
        <v>45247</v>
      </c>
      <c r="C42" s="1" t="n">
        <v>45258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57893-2023</t>
        </is>
      </c>
      <c r="B43" s="1" t="n">
        <v>45247</v>
      </c>
      <c r="C43" s="1" t="n">
        <v>45258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2023-11-28T17:17:26Z</dcterms:created>
  <dcterms:modified xmlns:dcterms="http://purl.org/dc/terms/" xmlns:xsi="http://www.w3.org/2001/XMLSchema-instance" xsi:type="dcterms:W3CDTF">2023-11-28T17:17:26Z</dcterms:modified>
</cp:coreProperties>
</file>