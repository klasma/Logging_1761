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45887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45887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45887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45887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45887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7593-2025</t>
        </is>
      </c>
      <c r="B7" s="1" t="n">
        <v>45705</v>
      </c>
      <c r="C7" s="1" t="n">
        <v>45887</v>
      </c>
      <c r="D7" t="inlineStr">
        <is>
          <t>VÄRMLANDS LÄN</t>
        </is>
      </c>
      <c r="E7" t="inlineStr">
        <is>
          <t>HAMMARÖ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Trollpipistrell</t>
        </is>
      </c>
      <c r="S7">
        <f>HYPERLINK("https://klasma.github.io/Logging_1761/artfynd/A 7593-2025 artfynd.xlsx", "A 7593-2025")</f>
        <v/>
      </c>
      <c r="T7">
        <f>HYPERLINK("https://klasma.github.io/Logging_1761/kartor/A 7593-2025 karta.png", "A 7593-2025")</f>
        <v/>
      </c>
      <c r="V7">
        <f>HYPERLINK("https://klasma.github.io/Logging_1761/klagomål/A 7593-2025 FSC-klagomål.docx", "A 7593-2025")</f>
        <v/>
      </c>
      <c r="W7">
        <f>HYPERLINK("https://klasma.github.io/Logging_1761/klagomålsmail/A 7593-2025 FSC-klagomål mail.docx", "A 7593-2025")</f>
        <v/>
      </c>
      <c r="X7">
        <f>HYPERLINK("https://klasma.github.io/Logging_1761/tillsyn/A 7593-2025 tillsynsbegäran.docx", "A 7593-2025")</f>
        <v/>
      </c>
      <c r="Y7">
        <f>HYPERLINK("https://klasma.github.io/Logging_1761/tillsynsmail/A 7593-2025 tillsynsbegäran mail.docx", "A 7593-2025")</f>
        <v/>
      </c>
    </row>
    <row r="8" ht="15" customHeight="1">
      <c r="A8" t="inlineStr">
        <is>
          <t>A 55068-2023</t>
        </is>
      </c>
      <c r="B8" s="1" t="n">
        <v>45237</v>
      </c>
      <c r="C8" s="1" t="n">
        <v>45887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HYPERLINK("https://klasma.github.io/Logging_1761/artfynd/A 55068-2023 artfynd.xlsx", "A 55068-2023")</f>
        <v/>
      </c>
      <c r="T8">
        <f>HYPERLINK("https://klasma.github.io/Logging_1761/kartor/A 55068-2023 karta.png", "A 55068-2023")</f>
        <v/>
      </c>
      <c r="V8">
        <f>HYPERLINK("https://klasma.github.io/Logging_1761/klagomål/A 55068-2023 FSC-klagomål.docx", "A 55068-2023")</f>
        <v/>
      </c>
      <c r="W8">
        <f>HYPERLINK("https://klasma.github.io/Logging_1761/klagomålsmail/A 55068-2023 FSC-klagomål mail.docx", "A 55068-2023")</f>
        <v/>
      </c>
      <c r="X8">
        <f>HYPERLINK("https://klasma.github.io/Logging_1761/tillsyn/A 55068-2023 tillsynsbegäran.docx", "A 55068-2023")</f>
        <v/>
      </c>
      <c r="Y8">
        <f>HYPERLINK("https://klasma.github.io/Logging_1761/tillsynsmail/A 55068-2023 tillsynsbegäran mail.docx", "A 55068-2023")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45887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45887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45887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45887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45887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45887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45887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51008-2023</t>
        </is>
      </c>
      <c r="B16" s="1" t="n">
        <v>45218</v>
      </c>
      <c r="C16" s="1" t="n">
        <v>45887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58383-2024</t>
        </is>
      </c>
      <c r="B17" s="1" t="n">
        <v>45632</v>
      </c>
      <c r="C17" s="1" t="n">
        <v>45887</v>
      </c>
      <c r="D17" t="inlineStr">
        <is>
          <t>VÄRMLANDS LÄN</t>
        </is>
      </c>
      <c r="E17" t="inlineStr">
        <is>
          <t>HAMMARÖ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45887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45887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42951-2023</t>
        </is>
      </c>
      <c r="B20" s="1" t="n">
        <v>45182</v>
      </c>
      <c r="C20" s="1" t="n">
        <v>45887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45887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45887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62456-2020</t>
        </is>
      </c>
      <c r="B23" s="1" t="n">
        <v>44160</v>
      </c>
      <c r="C23" s="1" t="n">
        <v>45887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45887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10793-2025</t>
        </is>
      </c>
      <c r="B25" s="1" t="n">
        <v>45722</v>
      </c>
      <c r="C25" s="1" t="n">
        <v>45887</v>
      </c>
      <c r="D25" t="inlineStr">
        <is>
          <t>VÄRMLANDS LÄN</t>
        </is>
      </c>
      <c r="E25" t="inlineStr">
        <is>
          <t>HAMMARÖ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37934-2024</t>
        </is>
      </c>
      <c r="B26" s="1" t="n">
        <v>45544</v>
      </c>
      <c r="C26" s="1" t="n">
        <v>45887</v>
      </c>
      <c r="D26" t="inlineStr">
        <is>
          <t>VÄRMLANDS LÄN</t>
        </is>
      </c>
      <c r="E26" t="inlineStr">
        <is>
          <t>HAMMARÖ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45887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45887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45887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3661-2025</t>
        </is>
      </c>
      <c r="B30" s="1" t="n">
        <v>45681</v>
      </c>
      <c r="C30" s="1" t="n">
        <v>45887</v>
      </c>
      <c r="D30" t="inlineStr">
        <is>
          <t>VÄRMLANDS LÄN</t>
        </is>
      </c>
      <c r="E30" t="inlineStr">
        <is>
          <t>HAMMARÖ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45887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58382-2024</t>
        </is>
      </c>
      <c r="B32" s="1" t="n">
        <v>45632</v>
      </c>
      <c r="C32" s="1" t="n">
        <v>45887</v>
      </c>
      <c r="D32" t="inlineStr">
        <is>
          <t>VÄRMLANDS LÄN</t>
        </is>
      </c>
      <c r="E32" t="inlineStr">
        <is>
          <t>HAMMARÖ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41895-2023</t>
        </is>
      </c>
      <c r="B33" s="1" t="n">
        <v>45176</v>
      </c>
      <c r="C33" s="1" t="n">
        <v>45887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41899-2023</t>
        </is>
      </c>
      <c r="B34" s="1" t="n">
        <v>45176</v>
      </c>
      <c r="C34" s="1" t="n">
        <v>45887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42957-2023</t>
        </is>
      </c>
      <c r="B35" s="1" t="n">
        <v>45182</v>
      </c>
      <c r="C35" s="1" t="n">
        <v>45887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55069-2023</t>
        </is>
      </c>
      <c r="B36" s="1" t="n">
        <v>45237</v>
      </c>
      <c r="C36" s="1" t="n">
        <v>45887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2025-08-18T08:30:40Z</dcterms:created>
  <dcterms:modified xmlns:dcterms="http://purl.org/dc/terms/" xmlns:xsi="http://www.w3.org/2001/XMLSchema-instance" xsi:type="dcterms:W3CDTF">2025-08-18T08:30:40Z</dcterms:modified>
</cp:coreProperties>
</file>