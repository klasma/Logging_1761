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46236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46236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46236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46236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46236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t="n">
        <v>11</v>
      </c>
      <c r="V6" s="2" t="inlineStr">
        <is>
          <t>Långskägg
Knärot
Motaggsvamp
Tjäder
Kungsfågel</t>
        </is>
      </c>
      <c r="W6">
        <f>HYPERLINK("https://klasma.github.io/Logging_1761/artfynd/A 47571-2025 artfynd.xlsx", "A 47571-2025")</f>
        <v/>
      </c>
      <c r="X6">
        <f>HYPERLINK("https://klasma.github.io/Logging_1761/kartor/A 47571-2025 karta.png", "A 47571-2025")</f>
        <v/>
      </c>
      <c r="Y6">
        <f>HYPERLINK("https://klasma.github.io/Logging_1761/kartor_geotiff/A 47571-2025 georefererad karta.tif", "A 47571-2025")</f>
        <v/>
      </c>
      <c r="Z6">
        <f>HYPERLINK("https://klasma.github.io/Logging_1761/knärot/A 47571-2025 karta knärot.png", "A 47571-2025")</f>
        <v/>
      </c>
      <c r="AA6">
        <f>HYPERLINK("https://klasma.github.io/Logging_1761/klagomål/A 47571-2025 FSC-klagomål.docx", "A 47571-2025")</f>
        <v/>
      </c>
      <c r="AB6">
        <f>HYPERLINK("https://klasma.github.io/Logging_1761/klagomålsmail/A 47571-2025 FSC-klagomål mail.docx", "A 47571-2025")</f>
        <v/>
      </c>
      <c r="AC6">
        <f>HYPERLINK("https://klasma.github.io/Logging_1761/tillsyn/A 47571-2025 tillsynsbegäran.docx", "A 47571-2025")</f>
        <v/>
      </c>
      <c r="AD6">
        <f>HYPERLINK("https://klasma.github.io/Logging_1761/tillsynsmail/A 47571-2025 tillsynsbegäran mail.docx", "A 47571-2025")</f>
        <v/>
      </c>
      <c r="AE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46236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t="n">
        <v>0</v>
      </c>
      <c r="V7" s="2" t="inlineStr">
        <is>
          <t>Knärot
Jättesvampmal
Åkergroda
Vanlig groda
Vanlig padda</t>
        </is>
      </c>
      <c r="W7">
        <f>HYPERLINK("https://klasma.github.io/Logging_1761/artfynd/A 3573-2026 artfynd.xlsx", "A 3573-2026")</f>
        <v/>
      </c>
      <c r="X7">
        <f>HYPERLINK("https://klasma.github.io/Logging_1761/kartor/A 3573-2026 karta.png", "A 3573-2026")</f>
        <v/>
      </c>
      <c r="Y7">
        <f>HYPERLINK("https://klasma.github.io/Logging_1761/kartor_geotiff/A 3573-2026 georefererad karta.tif", "A 3573-2026")</f>
        <v/>
      </c>
      <c r="Z7">
        <f>HYPERLINK("https://klasma.github.io/Logging_1761/knärot/A 3573-2026 karta knärot.png", "A 3573-2026")</f>
        <v/>
      </c>
      <c r="AA7">
        <f>HYPERLINK("https://klasma.github.io/Logging_1761/klagomål/A 3573-2026 FSC-klagomål.docx", "A 3573-2026")</f>
        <v/>
      </c>
      <c r="AB7">
        <f>HYPERLINK("https://klasma.github.io/Logging_1761/klagomålsmail/A 3573-2026 FSC-klagomål mail.docx", "A 3573-2026")</f>
        <v/>
      </c>
      <c r="AC7">
        <f>HYPERLINK("https://klasma.github.io/Logging_1761/tillsyn/A 3573-2026 tillsynsbegäran.docx", "A 3573-2026")</f>
        <v/>
      </c>
      <c r="AD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46236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46236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Knärot
Svart skogssnigel
Spillkråka</t>
        </is>
      </c>
      <c r="W9">
        <f>HYPERLINK("https://klasma.github.io/Logging_1761/artfynd/A 24618-2022 artfynd.xlsx", "A 24618-2022")</f>
        <v/>
      </c>
      <c r="X9">
        <f>HYPERLINK("https://klasma.github.io/Logging_1761/kartor/A 24618-2022 karta.png", "A 24618-2022")</f>
        <v/>
      </c>
      <c r="Y9">
        <f>HYPERLINK("https://klasma.github.io/Logging_1761/kartor_geotiff/A 24618-2022 georefererad karta.tif", "A 24618-2022")</f>
        <v/>
      </c>
      <c r="Z9">
        <f>HYPERLINK("https://klasma.github.io/Logging_1761/knärot/A 24618-2022 karta knärot.png", "A 24618-2022")</f>
        <v/>
      </c>
      <c r="AA9">
        <f>HYPERLINK("https://klasma.github.io/Logging_1761/klagomål/A 24618-2022 FSC-klagomål.docx", "A 24618-2022")</f>
        <v/>
      </c>
      <c r="AB9">
        <f>HYPERLINK("https://klasma.github.io/Logging_1761/klagomålsmail/A 24618-2022 FSC-klagomål mail.docx", "A 24618-2022")</f>
        <v/>
      </c>
      <c r="AC9">
        <f>HYPERLINK("https://klasma.github.io/Logging_1761/tillsyn/A 24618-2022 tillsynsbegäran.docx", "A 24618-2022")</f>
        <v/>
      </c>
      <c r="AD9">
        <f>HYPERLINK("https://klasma.github.io/Logging_1761/tillsynsmail/A 24618-2022 tillsynsbegäran mail.docx", "A 24618-2022")</f>
        <v/>
      </c>
      <c r="AE9">
        <f>HYPERLINK("https://klasma.github.io/Logging_1761/fåglar/A 24618-2022 prioriterade fågelarter.docx", "A 24618-2022")</f>
        <v/>
      </c>
    </row>
    <row r="10" ht="15" customHeight="1">
      <c r="A10" t="inlineStr">
        <is>
          <t>A 24616-2022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46236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21</v>
      </c>
      <c r="U10" t="n">
        <v>20</v>
      </c>
      <c r="V10" s="2" t="inlineStr">
        <is>
          <t>Knärot
Tretåig hackspett
Spillkråka</t>
        </is>
      </c>
      <c r="W10">
        <f>HYPERLINK("https://klasma.github.io/Logging_1761/artfynd/A 24616-2022 artfynd.xlsx", "A 24616-2022")</f>
        <v/>
      </c>
      <c r="X10">
        <f>HYPERLINK("https://klasma.github.io/Logging_1761/kartor/A 24616-2022 karta.png", "A 24616-2022")</f>
        <v/>
      </c>
      <c r="Y10">
        <f>HYPERLINK("https://klasma.github.io/Logging_1761/kartor_geotiff/A 24616-2022 georefererad karta.tif", "A 24616-2022")</f>
        <v/>
      </c>
      <c r="Z10">
        <f>HYPERLINK("https://klasma.github.io/Logging_1761/knärot/A 24616-2022 karta knärot.png", "A 24616-2022")</f>
        <v/>
      </c>
      <c r="AA10">
        <f>HYPERLINK("https://klasma.github.io/Logging_1761/klagomål/A 24616-2022 FSC-klagomål.docx", "A 24616-2022")</f>
        <v/>
      </c>
      <c r="AB10">
        <f>HYPERLINK("https://klasma.github.io/Logging_1761/klagomålsmail/A 24616-2022 FSC-klagomål mail.docx", "A 24616-2022")</f>
        <v/>
      </c>
      <c r="AC10">
        <f>HYPERLINK("https://klasma.github.io/Logging_1761/tillsyn/A 24616-2022 tillsynsbegäran.docx", "A 24616-2022")</f>
        <v/>
      </c>
      <c r="AD10">
        <f>HYPERLINK("https://klasma.github.io/Logging_1761/tillsynsmail/A 24616-2022 tillsynsbegäran mail.docx", "A 24616-2022")</f>
        <v/>
      </c>
      <c r="AE10">
        <f>HYPERLINK("https://klasma.github.io/Logging_1761/fåglar/A 24616-2022 prioriterade fågelarter.docx", "A 24616-2022")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46236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2769-2023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46236</v>
      </c>
      <c r="F12" t="inlineStr">
        <is>
          <t>VÄRMLANDS LÄN</t>
        </is>
      </c>
      <c r="G12" t="inlineStr">
        <is>
          <t>HAMMARÖ</t>
        </is>
      </c>
      <c r="I12" t="n">
        <v>8.699999999999999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3</v>
      </c>
      <c r="V12" s="2" t="inlineStr">
        <is>
          <t>Motaggsvamp</t>
        </is>
      </c>
      <c r="W12">
        <f>HYPERLINK("https://klasma.github.io/Logging_1761/artfynd/A 2769-2023 artfynd.xlsx", "A 2769-2023")</f>
        <v/>
      </c>
      <c r="X12">
        <f>HYPERLINK("https://klasma.github.io/Logging_1761/kartor/A 2769-2023 karta.png", "A 2769-2023")</f>
        <v/>
      </c>
      <c r="Y12">
        <f>HYPERLINK("https://klasma.github.io/Logging_1761/kartor_geotiff/A 2769-2023 georefererad karta.tif", "A 2769-2023")</f>
        <v/>
      </c>
      <c r="AA12">
        <f>HYPERLINK("https://klasma.github.io/Logging_1761/klagomål/A 2769-2023 FSC-klagomål.docx", "A 2769-2023")</f>
        <v/>
      </c>
      <c r="AB12">
        <f>HYPERLINK("https://klasma.github.io/Logging_1761/klagomålsmail/A 2769-2023 FSC-klagomål mail.docx", "A 2769-2023")</f>
        <v/>
      </c>
      <c r="AC12">
        <f>HYPERLINK("https://klasma.github.io/Logging_1761/tillsyn/A 2769-2023 tillsynsbegäran.docx", "A 2769-2023")</f>
        <v/>
      </c>
      <c r="AD12">
        <f>HYPERLINK("https://klasma.github.io/Logging_1761/tillsynsmail/A 2769-2023 tillsynsbegäran mail.docx", "A 2769-2023")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46236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41899-2023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45176</v>
      </c>
      <c r="E14" s="1" t="n">
        <v>46236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Grönsiska</t>
        </is>
      </c>
      <c r="W14">
        <f>HYPERLINK("https://klasma.github.io/Logging_1761/artfynd/A 41899-2023 artfynd.xlsx", "A 41899-2023")</f>
        <v/>
      </c>
      <c r="X14">
        <f>HYPERLINK("https://klasma.github.io/Logging_1761/kartor/A 41899-2023 karta.png", "A 41899-2023")</f>
        <v/>
      </c>
      <c r="Y14">
        <f>HYPERLINK("https://klasma.github.io/Logging_1761/kartor_geotiff/A 41899-2023 georefererad karta.tif", "A 41899-2023")</f>
        <v/>
      </c>
      <c r="AA14">
        <f>HYPERLINK("https://klasma.github.io/Logging_1761/klagomål/A 41899-2023 FSC-klagomål.docx", "A 41899-2023")</f>
        <v/>
      </c>
      <c r="AB14">
        <f>HYPERLINK("https://klasma.github.io/Logging_1761/klagomålsmail/A 41899-2023 FSC-klagomål mail.docx", "A 41899-2023")</f>
        <v/>
      </c>
      <c r="AC14">
        <f>HYPERLINK("https://klasma.github.io/Logging_1761/tillsyn/A 41899-2023 tillsynsbegäran.docx", "A 41899-2023")</f>
        <v/>
      </c>
      <c r="AD14">
        <f>HYPERLINK("https://klasma.github.io/Logging_1761/tillsynsmail/A 41899-2023 tillsynsbegäran mail.docx", "A 41899-2023")</f>
        <v/>
      </c>
    </row>
    <row r="15" ht="15" customHeight="1">
      <c r="A15" t="inlineStr">
        <is>
          <t>A 53276-2023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45229</v>
      </c>
      <c r="E15" s="1" t="n">
        <v>46236</v>
      </c>
      <c r="F15" t="inlineStr">
        <is>
          <t>VÄRMLANDS LÄN</t>
        </is>
      </c>
      <c r="G15" t="inlineStr">
        <is>
          <t>HAMMARÖ</t>
        </is>
      </c>
      <c r="H15" t="inlineStr">
        <is>
          <t>Övriga Aktiebolag</t>
        </is>
      </c>
      <c r="I15" t="n">
        <v>0.3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groda</t>
        </is>
      </c>
      <c r="W15">
        <f>HYPERLINK("https://klasma.github.io/Logging_1761/artfynd/A 53276-2023 artfynd.xlsx", "A 53276-2023")</f>
        <v/>
      </c>
      <c r="X15">
        <f>HYPERLINK("https://klasma.github.io/Logging_1761/kartor/A 53276-2023 karta.png", "A 53276-2023")</f>
        <v/>
      </c>
      <c r="Y15">
        <f>HYPERLINK("https://klasma.github.io/Logging_1761/kartor_geotiff/A 53276-2023 georefererad karta.tif", "A 53276-2023")</f>
        <v/>
      </c>
      <c r="AA15">
        <f>HYPERLINK("https://klasma.github.io/Logging_1761/klagomål/A 53276-2023 FSC-klagomål.docx", "A 53276-2023")</f>
        <v/>
      </c>
      <c r="AB15">
        <f>HYPERLINK("https://klasma.github.io/Logging_1761/klagomålsmail/A 53276-2023 FSC-klagomål mail.docx", "A 53276-2023")</f>
        <v/>
      </c>
      <c r="AC15">
        <f>HYPERLINK("https://klasma.github.io/Logging_1761/tillsyn/A 53276-2023 tillsynsbegäran.docx", "A 53276-2023")</f>
        <v/>
      </c>
      <c r="AD15">
        <f>HYPERLINK("https://klasma.github.io/Logging_1761/tillsynsmail/A 53276-2023 tillsynsbegäran mail.docx", "A 53276-2023")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46236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46236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13354-2022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44645</v>
      </c>
      <c r="E18" s="1" t="n">
        <v>46236</v>
      </c>
      <c r="F18" t="inlineStr">
        <is>
          <t>VÄRMLANDS LÄN</t>
        </is>
      </c>
      <c r="G18" t="inlineStr">
        <is>
          <t>HAMMARÖ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51008-2023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45218</v>
      </c>
      <c r="E19" s="1" t="n">
        <v>46236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45237</v>
      </c>
      <c r="E20" s="1" t="n">
        <v>46236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45247</v>
      </c>
      <c r="E21" s="1" t="n">
        <v>46236</v>
      </c>
      <c r="F21" t="inlineStr">
        <is>
          <t>VÄRMLANDS LÄN</t>
        </is>
      </c>
      <c r="G21" t="inlineStr">
        <is>
          <t>HAMMARÖ</t>
        </is>
      </c>
      <c r="H21" t="inlineStr">
        <is>
          <t>Kommuner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37934-2024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45544</v>
      </c>
      <c r="E22" s="1" t="n">
        <v>46236</v>
      </c>
      <c r="F22" t="inlineStr">
        <is>
          <t>VÄRMLANDS LÄN</t>
        </is>
      </c>
      <c r="G22" t="inlineStr">
        <is>
          <t>HAMMARÖ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44894</v>
      </c>
      <c r="E23" s="1" t="n">
        <v>46236</v>
      </c>
      <c r="F23" t="inlineStr">
        <is>
          <t>VÄRMLANDS LÄN</t>
        </is>
      </c>
      <c r="G23" t="inlineStr">
        <is>
          <t>HAMMARÖ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41895-2023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45176</v>
      </c>
      <c r="E24" s="1" t="n">
        <v>46236</v>
      </c>
      <c r="F24" t="inlineStr">
        <is>
          <t>VÄRMLANDS LÄN</t>
        </is>
      </c>
      <c r="G24" t="inlineStr">
        <is>
          <t>HAMMARÖ</t>
        </is>
      </c>
      <c r="H24" t="inlineStr">
        <is>
          <t>Övriga Aktiebolag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45237</v>
      </c>
      <c r="E25" s="1" t="n">
        <v>46236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46236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58383-2024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45632</v>
      </c>
      <c r="E27" s="1" t="n">
        <v>46236</v>
      </c>
      <c r="F27" t="inlineStr">
        <is>
          <t>VÄRMLANDS LÄN</t>
        </is>
      </c>
      <c r="G27" t="inlineStr">
        <is>
          <t>HAMMARÖ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53369-2024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46236</v>
      </c>
      <c r="F28" t="inlineStr">
        <is>
          <t>VÄRMLANDS LÄN</t>
        </is>
      </c>
      <c r="G28" t="inlineStr">
        <is>
          <t>HAMMARÖ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46236</v>
      </c>
      <c r="F29" t="inlineStr">
        <is>
          <t>VÄRMLANDS LÄN</t>
        </is>
      </c>
      <c r="G29" t="inlineStr">
        <is>
          <t>HAMMARÖ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46236</v>
      </c>
      <c r="F30" t="inlineStr">
        <is>
          <t>VÄRMLANDS LÄN</t>
        </is>
      </c>
      <c r="G30" t="inlineStr">
        <is>
          <t>HAMMARÖ</t>
        </is>
      </c>
      <c r="H30" t="inlineStr">
        <is>
          <t>Övriga Aktiebolag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46236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46236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46236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2026-08-02T01:55:41Z</dcterms:created>
  <dcterms:modified xmlns:dcterms="http://purl.org/dc/terms/" xmlns:xsi="http://www.w3.org/2001/XMLSchema-instance" xsi:type="dcterms:W3CDTF">2026-08-02T01:55:41Z</dcterms:modified>
</cp:coreProperties>
</file>