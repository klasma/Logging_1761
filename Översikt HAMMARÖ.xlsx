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1549-2026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46167</v>
      </c>
      <c r="E2" s="1" t="n">
        <v>46322</v>
      </c>
      <c r="F2" t="inlineStr">
        <is>
          <t>VÄRMLANDS LÄN</t>
        </is>
      </c>
      <c r="G2" t="inlineStr">
        <is>
          <t>HAMMARÖ</t>
        </is>
      </c>
      <c r="I2" t="n">
        <v>0.8</v>
      </c>
      <c r="J2" t="n">
        <v>11</v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13</v>
      </c>
      <c r="T2" t="n">
        <v>18</v>
      </c>
      <c r="U2" t="n">
        <v>0</v>
      </c>
      <c r="V2" s="2" t="inlineStr">
        <is>
          <t>Brunlångöra
Gulsparv
Nordfladdermus
Stubbspretmossa
Thomsons trägnagare
Spillkråka
Dvärgpipistrell
Gröngöling
Havsörn
Kungsfågel
Vattenfladdermus
Åkergroda
Vanlig padda</t>
        </is>
      </c>
      <c r="W2">
        <f>HYPERLINK("https://klasma.github.io/Logging_1761/artfynd/S 1549-2026 artfynd.xlsx", "S 1549-2026")</f>
        <v/>
      </c>
      <c r="X2">
        <f>HYPERLINK("https://klasma.github.io/Logging_1761/kartor/S 1549-2026 karta.png", "S 1549-2026")</f>
        <v/>
      </c>
      <c r="Y2">
        <f>HYPERLINK("https://klasma.github.io/Logging_1761/kartor_geotiff/S 1549-2026 georefererad karta.tif", "S 1549-2026")</f>
        <v/>
      </c>
      <c r="AA2">
        <f>HYPERLINK("https://klasma.github.io/Logging_1761/klagomål/S 1549-2026 FSC-klagomål.docx", "S 1549-2026")</f>
        <v/>
      </c>
      <c r="AB2">
        <f>HYPERLINK("https://klasma.github.io/Logging_1761/klagomålsmail/S 1549-2026 FSC-klagomål mail.docx", "S 1549-2026")</f>
        <v/>
      </c>
      <c r="AC2">
        <f>HYPERLINK("https://klasma.github.io/Logging_1761/tillsyn/S 1549-2026 tillsynsbegäran.docx", "S 1549-2026")</f>
        <v/>
      </c>
      <c r="AD2">
        <f>HYPERLINK("https://klasma.github.io/Logging_1761/tillsynsmail/S 1549-2026 tillsynsbegäran mail.docx", "S 1549-2026")</f>
        <v/>
      </c>
      <c r="AE2">
        <f>HYPERLINK("https://klasma.github.io/Logging_1761/fåglar/S 1549-2026 prioriterade fågelarter.docx", "S 1549-2026")</f>
        <v/>
      </c>
    </row>
    <row r="3" ht="15" customHeight="1">
      <c r="A3" t="inlineStr">
        <is>
          <t>S 1548-2026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46167</v>
      </c>
      <c r="E3" s="1" t="n">
        <v>46322</v>
      </c>
      <c r="F3" t="inlineStr">
        <is>
          <t>VÄRMLANDS LÄN</t>
        </is>
      </c>
      <c r="G3" t="inlineStr">
        <is>
          <t>HAMMARÖ</t>
        </is>
      </c>
      <c r="I3" t="n">
        <v>3.8</v>
      </c>
      <c r="J3" t="n">
        <v>8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10</v>
      </c>
      <c r="T3" t="n">
        <v>20</v>
      </c>
      <c r="U3" t="n">
        <v>0</v>
      </c>
      <c r="V3" s="2" t="inlineStr">
        <is>
          <t>Mindre hackspett
Nordfladdermus
Stubbspretmossa
Thomsons trägnagare
Spillkråka
Dvärgpipistrell
Fiskgjuse
Gröngöling
Havsörn
Kungsfågel</t>
        </is>
      </c>
      <c r="W3">
        <f>HYPERLINK("https://klasma.github.io/Logging_1761/artfynd/S 1548-2026 artfynd.xlsx", "S 1548-2026")</f>
        <v/>
      </c>
      <c r="X3">
        <f>HYPERLINK("https://klasma.github.io/Logging_1761/kartor/S 1548-2026 karta.png", "S 1548-2026")</f>
        <v/>
      </c>
      <c r="Y3">
        <f>HYPERLINK("https://klasma.github.io/Logging_1761/kartor_geotiff/S 1548-2026 georefererad karta.tif", "S 1548-2026")</f>
        <v/>
      </c>
      <c r="AA3">
        <f>HYPERLINK("https://klasma.github.io/Logging_1761/klagomål/S 1548-2026 FSC-klagomål.docx", "S 1548-2026")</f>
        <v/>
      </c>
      <c r="AB3">
        <f>HYPERLINK("https://klasma.github.io/Logging_1761/klagomålsmail/S 1548-2026 FSC-klagomål mail.docx", "S 1548-2026")</f>
        <v/>
      </c>
      <c r="AC3">
        <f>HYPERLINK("https://klasma.github.io/Logging_1761/tillsyn/S 1548-2026 tillsynsbegäran.docx", "S 1548-2026")</f>
        <v/>
      </c>
      <c r="AD3">
        <f>HYPERLINK("https://klasma.github.io/Logging_1761/tillsynsmail/S 1548-2026 tillsynsbegäran mail.docx", "S 1548-2026")</f>
        <v/>
      </c>
      <c r="AE3">
        <f>HYPERLINK("https://klasma.github.io/Logging_1761/fåglar/S 1548-2026 prioriterade fågelarter.docx", "S 1548-2026")</f>
        <v/>
      </c>
    </row>
    <row r="4" ht="15" customHeight="1">
      <c r="A4" t="inlineStr">
        <is>
          <t>A 68622-2021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44529</v>
      </c>
      <c r="E4" s="1" t="n">
        <v>46322</v>
      </c>
      <c r="F4" t="inlineStr">
        <is>
          <t>VÄRMLANDS LÄN</t>
        </is>
      </c>
      <c r="G4" t="inlineStr">
        <is>
          <t>HAMMARÖ</t>
        </is>
      </c>
      <c r="I4" t="n">
        <v>9.699999999999999</v>
      </c>
      <c r="J4" t="n">
        <v>5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7</v>
      </c>
      <c r="T4" t="n">
        <v>22</v>
      </c>
      <c r="U4" t="n">
        <v>22</v>
      </c>
      <c r="V4" s="2" t="inlineStr">
        <is>
          <t>Knärot
Tallticka
Jättesvampmal
Åkergroda
Kopparödla
Vanlig groda
Vanlig padda</t>
        </is>
      </c>
      <c r="W4">
        <f>HYPERLINK("https://klasma.github.io/Logging_1761/artfynd/A 68622-2021 artfynd.xlsx", "A 68622-2021")</f>
        <v/>
      </c>
      <c r="X4">
        <f>HYPERLINK("https://klasma.github.io/Logging_1761/kartor/A 68622-2021 karta.png", "A 68622-2021")</f>
        <v/>
      </c>
      <c r="Y4">
        <f>HYPERLINK("https://klasma.github.io/Logging_1761/kartor_geotiff/A 68622-2021 georefererad karta.tif", "A 68622-2021")</f>
        <v/>
      </c>
      <c r="Z4">
        <f>HYPERLINK("https://klasma.github.io/Logging_1761/knärot/A 68622-2021 karta knärot.png", "A 68622-2021")</f>
        <v/>
      </c>
      <c r="AA4">
        <f>HYPERLINK("https://klasma.github.io/Logging_1761/klagomål/A 68622-2021 FSC-klagomål.docx", "A 68622-2021")</f>
        <v/>
      </c>
      <c r="AB4">
        <f>HYPERLINK("https://klasma.github.io/Logging_1761/klagomålsmail/A 68622-2021 FSC-klagomål mail.docx", "A 68622-2021")</f>
        <v/>
      </c>
      <c r="AC4">
        <f>HYPERLINK("https://klasma.github.io/Logging_1761/tillsyn/A 68622-2021 tillsynsbegäran.docx", "A 68622-2021")</f>
        <v/>
      </c>
      <c r="AD4">
        <f>HYPERLINK("https://klasma.github.io/Logging_1761/tillsynsmail/A 68622-2021 tillsynsbegäran mail.docx", "A 68622-2021")</f>
        <v/>
      </c>
    </row>
    <row r="5" ht="15" customHeight="1">
      <c r="A5" t="inlineStr">
        <is>
          <t>S 2492-2022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44693</v>
      </c>
      <c r="E5" s="1" t="n">
        <v>46322</v>
      </c>
      <c r="F5" t="inlineStr">
        <is>
          <t>VÄRMLANDS LÄN</t>
        </is>
      </c>
      <c r="G5" t="inlineStr">
        <is>
          <t>HAMMARÖ</t>
        </is>
      </c>
      <c r="H5" t="inlineStr">
        <is>
          <t>Kommuner</t>
        </is>
      </c>
      <c r="I5" t="n">
        <v>27.1</v>
      </c>
      <c r="J5" t="n">
        <v>3</v>
      </c>
      <c r="K5" t="n">
        <v>0</v>
      </c>
      <c r="L5" t="n">
        <v>3</v>
      </c>
      <c r="M5" t="n">
        <v>2</v>
      </c>
      <c r="N5" t="n">
        <v>0</v>
      </c>
      <c r="O5" t="n">
        <v>0</v>
      </c>
      <c r="P5" t="n">
        <v>0</v>
      </c>
      <c r="Q5" t="n">
        <v>5</v>
      </c>
      <c r="R5" t="n">
        <v>2</v>
      </c>
      <c r="S5" t="n">
        <v>7</v>
      </c>
      <c r="T5" t="n">
        <v>10</v>
      </c>
      <c r="U5" t="n">
        <v>9</v>
      </c>
      <c r="V5" s="2" t="inlineStr">
        <is>
          <t>Knärot
Ryl
Koralltaggsvamp
Motaggsvamp
Svartvit taggsvamp
Vanlig groda
Vanlig padda</t>
        </is>
      </c>
      <c r="W5">
        <f>HYPERLINK("https://klasma.github.io/Logging_1761/artfynd/S 2492-2022 artfynd.xlsx", "S 2492-2022")</f>
        <v/>
      </c>
      <c r="X5">
        <f>HYPERLINK("https://klasma.github.io/Logging_1761/kartor/S 2492-2022 karta.png", "S 2492-2022")</f>
        <v/>
      </c>
      <c r="Y5">
        <f>HYPERLINK("https://klasma.github.io/Logging_1761/kartor_geotiff/S 2492-2022 georefererad karta.tif", "S 2492-2022")</f>
        <v/>
      </c>
      <c r="Z5">
        <f>HYPERLINK("https://klasma.github.io/Logging_1761/knärot/S 2492-2022 karta knärot.png", "S 2492-2022")</f>
        <v/>
      </c>
      <c r="AA5">
        <f>HYPERLINK("https://klasma.github.io/Logging_1761/klagomål/S 2492-2022 FSC-klagomål.docx", "S 2492-2022")</f>
        <v/>
      </c>
      <c r="AB5">
        <f>HYPERLINK("https://klasma.github.io/Logging_1761/klagomålsmail/S 2492-2022 FSC-klagomål mail.docx", "S 2492-2022")</f>
        <v/>
      </c>
      <c r="AC5">
        <f>HYPERLINK("https://klasma.github.io/Logging_1761/tillsyn/S 2492-2022 tillsynsbegäran.docx", "S 2492-2022")</f>
        <v/>
      </c>
      <c r="AD5">
        <f>HYPERLINK("https://klasma.github.io/Logging_1761/tillsynsmail/S 2492-2022 tillsynsbegäran mail.docx", "S 2492-2022")</f>
        <v/>
      </c>
    </row>
    <row r="6" ht="15" customHeight="1">
      <c r="A6" t="inlineStr">
        <is>
          <t>A 61380-2023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45264</v>
      </c>
      <c r="E6" s="1" t="n">
        <v>46322</v>
      </c>
      <c r="F6" t="inlineStr">
        <is>
          <t>VÄRMLANDS LÄN</t>
        </is>
      </c>
      <c r="G6" t="inlineStr">
        <is>
          <t>HAMMARÖ</t>
        </is>
      </c>
      <c r="I6" t="n">
        <v>3.3</v>
      </c>
      <c r="J6" t="n">
        <v>1</v>
      </c>
      <c r="K6" t="n">
        <v>1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1</v>
      </c>
      <c r="S6" t="n">
        <v>5</v>
      </c>
      <c r="T6" t="n">
        <v>8</v>
      </c>
      <c r="U6" t="n">
        <v>4</v>
      </c>
      <c r="V6" s="2" t="inlineStr">
        <is>
          <t>Knärot
Blå taggsvamp
Gropticka
Motaggsvamp
Gullgröppa</t>
        </is>
      </c>
      <c r="W6">
        <f>HYPERLINK("https://klasma.github.io/Logging_1761/artfynd/A 61380-2023 artfynd.xlsx", "A 61380-2023")</f>
        <v/>
      </c>
      <c r="X6">
        <f>HYPERLINK("https://klasma.github.io/Logging_1761/kartor/A 61380-2023 karta.png", "A 61380-2023")</f>
        <v/>
      </c>
      <c r="Y6">
        <f>HYPERLINK("https://klasma.github.io/Logging_1761/kartor_geotiff/A 61380-2023 georefererad karta.tif", "A 61380-2023")</f>
        <v/>
      </c>
      <c r="Z6">
        <f>HYPERLINK("https://klasma.github.io/Logging_1761/knärot/A 61380-2023 karta knärot.png", "A 61380-2023")</f>
        <v/>
      </c>
      <c r="AA6">
        <f>HYPERLINK("https://klasma.github.io/Logging_1761/klagomål/A 61380-2023 FSC-klagomål.docx", "A 61380-2023")</f>
        <v/>
      </c>
      <c r="AB6">
        <f>HYPERLINK("https://klasma.github.io/Logging_1761/klagomålsmail/A 61380-2023 FSC-klagomål mail.docx", "A 61380-2023")</f>
        <v/>
      </c>
      <c r="AC6">
        <f>HYPERLINK("https://klasma.github.io/Logging_1761/tillsyn/A 61380-2023 tillsynsbegäran.docx", "A 61380-2023")</f>
        <v/>
      </c>
      <c r="AD6">
        <f>HYPERLINK("https://klasma.github.io/Logging_1761/tillsynsmail/A 61380-2023 tillsynsbegäran mail.docx", "A 61380-2023")</f>
        <v/>
      </c>
    </row>
    <row r="7" ht="15" customHeight="1">
      <c r="A7" t="inlineStr">
        <is>
          <t>A 3573-2026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46042</v>
      </c>
      <c r="E7" s="1" t="n">
        <v>46322</v>
      </c>
      <c r="F7" t="inlineStr">
        <is>
          <t>VÄRMLANDS LÄN</t>
        </is>
      </c>
      <c r="G7" t="inlineStr">
        <is>
          <t>HAMMARÖ</t>
        </is>
      </c>
      <c r="I7" t="n">
        <v>4.3</v>
      </c>
      <c r="J7" t="n">
        <v>4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5</v>
      </c>
      <c r="T7" t="n">
        <v>16</v>
      </c>
      <c r="U7" t="n">
        <v>0</v>
      </c>
      <c r="V7" s="2" t="inlineStr">
        <is>
          <t>Knärot
Jättesvampmal
Åkergroda
Vanlig groda
Vanlig padda</t>
        </is>
      </c>
      <c r="W7">
        <f>HYPERLINK("https://klasma.github.io/Logging_1761/artfynd/A 3573-2026 artfynd.xlsx", "A 3573-2026")</f>
        <v/>
      </c>
      <c r="X7">
        <f>HYPERLINK("https://klasma.github.io/Logging_1761/kartor/A 3573-2026 karta.png", "A 3573-2026")</f>
        <v/>
      </c>
      <c r="Y7">
        <f>HYPERLINK("https://klasma.github.io/Logging_1761/kartor_geotiff/A 3573-2026 georefererad karta.tif", "A 3573-2026")</f>
        <v/>
      </c>
      <c r="Z7">
        <f>HYPERLINK("https://klasma.github.io/Logging_1761/knärot/A 3573-2026 karta knärot.png", "A 3573-2026")</f>
        <v/>
      </c>
      <c r="AA7">
        <f>HYPERLINK("https://klasma.github.io/Logging_1761/klagomål/A 3573-2026 FSC-klagomål.docx", "A 3573-2026")</f>
        <v/>
      </c>
      <c r="AB7">
        <f>HYPERLINK("https://klasma.github.io/Logging_1761/klagomålsmail/A 3573-2026 FSC-klagomål mail.docx", "A 3573-2026")</f>
        <v/>
      </c>
      <c r="AC7">
        <f>HYPERLINK("https://klasma.github.io/Logging_1761/tillsyn/A 3573-2026 tillsynsbegäran.docx", "A 3573-2026")</f>
        <v/>
      </c>
      <c r="AD7">
        <f>HYPERLINK("https://klasma.github.io/Logging_1761/tillsynsmail/A 3573-2026 tillsynsbegäran mail.docx", "A 3573-2026")</f>
        <v/>
      </c>
    </row>
    <row r="8" ht="15" customHeight="1">
      <c r="A8" t="inlineStr">
        <is>
          <t>A 47571-2025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45931</v>
      </c>
      <c r="E8" s="1" t="n">
        <v>46322</v>
      </c>
      <c r="F8" t="inlineStr">
        <is>
          <t>VÄRMLANDS LÄN</t>
        </is>
      </c>
      <c r="G8" t="inlineStr">
        <is>
          <t>HAMMARÖ</t>
        </is>
      </c>
      <c r="I8" t="n">
        <v>8.300000000000001</v>
      </c>
      <c r="J8" t="n">
        <v>4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3</v>
      </c>
      <c r="R8" t="n">
        <v>2</v>
      </c>
      <c r="S8" t="n">
        <v>5</v>
      </c>
      <c r="T8" t="n">
        <v>11</v>
      </c>
      <c r="U8" t="n">
        <v>11</v>
      </c>
      <c r="V8" s="2" t="inlineStr">
        <is>
          <t>Långskägg
Knärot
Motaggsvamp
Tjäder
Kungsfågel</t>
        </is>
      </c>
      <c r="W8">
        <f>HYPERLINK("https://klasma.github.io/Logging_1761/artfynd/A 47571-2025 artfynd.xlsx", "A 47571-2025")</f>
        <v/>
      </c>
      <c r="X8">
        <f>HYPERLINK("https://klasma.github.io/Logging_1761/kartor/A 47571-2025 karta.png", "A 47571-2025")</f>
        <v/>
      </c>
      <c r="Y8">
        <f>HYPERLINK("https://klasma.github.io/Logging_1761/kartor_geotiff/A 47571-2025 georefererad karta.tif", "A 47571-2025")</f>
        <v/>
      </c>
      <c r="Z8">
        <f>HYPERLINK("https://klasma.github.io/Logging_1761/knärot/A 47571-2025 karta knärot.png", "A 47571-2025")</f>
        <v/>
      </c>
      <c r="AA8">
        <f>HYPERLINK("https://klasma.github.io/Logging_1761/klagomål/A 47571-2025 FSC-klagomål.docx", "A 47571-2025")</f>
        <v/>
      </c>
      <c r="AB8">
        <f>HYPERLINK("https://klasma.github.io/Logging_1761/klagomålsmail/A 47571-2025 FSC-klagomål mail.docx", "A 47571-2025")</f>
        <v/>
      </c>
      <c r="AC8">
        <f>HYPERLINK("https://klasma.github.io/Logging_1761/tillsyn/A 47571-2025 tillsynsbegäran.docx", "A 47571-2025")</f>
        <v/>
      </c>
      <c r="AD8">
        <f>HYPERLINK("https://klasma.github.io/Logging_1761/tillsynsmail/A 47571-2025 tillsynsbegäran mail.docx", "A 47571-2025")</f>
        <v/>
      </c>
      <c r="AE8">
        <f>HYPERLINK("https://klasma.github.io/Logging_1761/fåglar/A 47571-2025 prioriterade fågelarter.docx", "A 47571-2025")</f>
        <v/>
      </c>
    </row>
    <row r="9" ht="15" customHeight="1">
      <c r="A9" t="inlineStr">
        <is>
          <t>A 24616-2022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44727</v>
      </c>
      <c r="E9" s="1" t="n">
        <v>46322</v>
      </c>
      <c r="F9" t="inlineStr">
        <is>
          <t>VÄRMLANDS LÄN</t>
        </is>
      </c>
      <c r="G9" t="inlineStr">
        <is>
          <t>HAMMARÖ</t>
        </is>
      </c>
      <c r="H9" t="inlineStr">
        <is>
          <t>Kommuner</t>
        </is>
      </c>
      <c r="I9" t="n">
        <v>4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3</v>
      </c>
      <c r="T9" t="n">
        <v>21</v>
      </c>
      <c r="U9" t="n">
        <v>20</v>
      </c>
      <c r="V9" s="2" t="inlineStr">
        <is>
          <t>Knärot
Tretåig hackspett
Spillkråka</t>
        </is>
      </c>
      <c r="W9">
        <f>HYPERLINK("https://klasma.github.io/Logging_1761/artfynd/A 24616-2022 artfynd.xlsx", "A 24616-2022")</f>
        <v/>
      </c>
      <c r="X9">
        <f>HYPERLINK("https://klasma.github.io/Logging_1761/kartor/A 24616-2022 karta.png", "A 24616-2022")</f>
        <v/>
      </c>
      <c r="Y9">
        <f>HYPERLINK("https://klasma.github.io/Logging_1761/kartor_geotiff/A 24616-2022 georefererad karta.tif", "A 24616-2022")</f>
        <v/>
      </c>
      <c r="Z9">
        <f>HYPERLINK("https://klasma.github.io/Logging_1761/knärot/A 24616-2022 karta knärot.png", "A 24616-2022")</f>
        <v/>
      </c>
      <c r="AA9">
        <f>HYPERLINK("https://klasma.github.io/Logging_1761/klagomål/A 24616-2022 FSC-klagomål.docx", "A 24616-2022")</f>
        <v/>
      </c>
      <c r="AB9">
        <f>HYPERLINK("https://klasma.github.io/Logging_1761/klagomålsmail/A 24616-2022 FSC-klagomål mail.docx", "A 24616-2022")</f>
        <v/>
      </c>
      <c r="AC9">
        <f>HYPERLINK("https://klasma.github.io/Logging_1761/tillsyn/A 24616-2022 tillsynsbegäran.docx", "A 24616-2022")</f>
        <v/>
      </c>
      <c r="AD9">
        <f>HYPERLINK("https://klasma.github.io/Logging_1761/tillsynsmail/A 24616-2022 tillsynsbegäran mail.docx", "A 24616-2022")</f>
        <v/>
      </c>
      <c r="AE9">
        <f>HYPERLINK("https://klasma.github.io/Logging_1761/fåglar/A 24616-2022 prioriterade fågelarter.docx", "A 24616-2022")</f>
        <v/>
      </c>
    </row>
    <row r="10" ht="15" customHeight="1">
      <c r="A10" t="inlineStr">
        <is>
          <t>A 24618-2022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44727</v>
      </c>
      <c r="E10" s="1" t="n">
        <v>46322</v>
      </c>
      <c r="F10" t="inlineStr">
        <is>
          <t>VÄRMLANDS LÄN</t>
        </is>
      </c>
      <c r="G10" t="inlineStr">
        <is>
          <t>HAMMARÖ</t>
        </is>
      </c>
      <c r="H10" t="inlineStr">
        <is>
          <t>Kommuner</t>
        </is>
      </c>
      <c r="I10" t="n">
        <v>4.6</v>
      </c>
      <c r="J10" t="n">
        <v>2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3</v>
      </c>
      <c r="T10" t="n">
        <v>3</v>
      </c>
      <c r="U10" t="n">
        <v>2</v>
      </c>
      <c r="V10" s="2" t="inlineStr">
        <is>
          <t>Knärot
Svart skogssnigel
Spillkråka</t>
        </is>
      </c>
      <c r="W10">
        <f>HYPERLINK("https://klasma.github.io/Logging_1761/artfynd/A 24618-2022 artfynd.xlsx", "A 24618-2022")</f>
        <v/>
      </c>
      <c r="X10">
        <f>HYPERLINK("https://klasma.github.io/Logging_1761/kartor/A 24618-2022 karta.png", "A 24618-2022")</f>
        <v/>
      </c>
      <c r="Y10">
        <f>HYPERLINK("https://klasma.github.io/Logging_1761/kartor_geotiff/A 24618-2022 georefererad karta.tif", "A 24618-2022")</f>
        <v/>
      </c>
      <c r="Z10">
        <f>HYPERLINK("https://klasma.github.io/Logging_1761/knärot/A 24618-2022 karta knärot.png", "A 24618-2022")</f>
        <v/>
      </c>
      <c r="AA10">
        <f>HYPERLINK("https://klasma.github.io/Logging_1761/klagomål/A 24618-2022 FSC-klagomål.docx", "A 24618-2022")</f>
        <v/>
      </c>
      <c r="AB10">
        <f>HYPERLINK("https://klasma.github.io/Logging_1761/klagomålsmail/A 24618-2022 FSC-klagomål mail.docx", "A 24618-2022")</f>
        <v/>
      </c>
      <c r="AC10">
        <f>HYPERLINK("https://klasma.github.io/Logging_1761/tillsyn/A 24618-2022 tillsynsbegäran.docx", "A 24618-2022")</f>
        <v/>
      </c>
      <c r="AD10">
        <f>HYPERLINK("https://klasma.github.io/Logging_1761/tillsynsmail/A 24618-2022 tillsynsbegäran mail.docx", "A 24618-2022")</f>
        <v/>
      </c>
      <c r="AE10">
        <f>HYPERLINK("https://klasma.github.io/Logging_1761/fåglar/A 24618-2022 prioriterade fågelarter.docx", "A 24618-2022")</f>
        <v/>
      </c>
    </row>
    <row r="11" ht="15" customHeight="1">
      <c r="A11" t="inlineStr">
        <is>
          <t>S 3217-2025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45980</v>
      </c>
      <c r="E11" s="1" t="n">
        <v>46322</v>
      </c>
      <c r="F11" t="inlineStr">
        <is>
          <t>VÄRMLANDS LÄN</t>
        </is>
      </c>
      <c r="G11" t="inlineStr">
        <is>
          <t>HAMMARÖ</t>
        </is>
      </c>
      <c r="I11" t="n">
        <v>5.1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Tjäder
Kungsfågel</t>
        </is>
      </c>
      <c r="W11">
        <f>HYPERLINK("https://klasma.github.io/Logging_1761/artfynd/S 3217-2025 artfynd.xlsx", "S 3217-2025")</f>
        <v/>
      </c>
      <c r="X11">
        <f>HYPERLINK("https://klasma.github.io/Logging_1761/kartor/S 3217-2025 karta.png", "S 3217-2025")</f>
        <v/>
      </c>
      <c r="Y11">
        <f>HYPERLINK("https://klasma.github.io/Logging_1761/kartor_geotiff/S 3217-2025 georefererad karta.tif", "S 3217-2025")</f>
        <v/>
      </c>
      <c r="Z11">
        <f>HYPERLINK("https://klasma.github.io/Logging_1761/knärot/S 3217-2025 karta knärot.png", "S 3217-2025")</f>
        <v/>
      </c>
      <c r="AA11">
        <f>HYPERLINK("https://klasma.github.io/Logging_1761/klagomål/S 3217-2025 FSC-klagomål.docx", "S 3217-2025")</f>
        <v/>
      </c>
      <c r="AB11">
        <f>HYPERLINK("https://klasma.github.io/Logging_1761/klagomålsmail/S 3217-2025 FSC-klagomål mail.docx", "S 3217-2025")</f>
        <v/>
      </c>
      <c r="AC11">
        <f>HYPERLINK("https://klasma.github.io/Logging_1761/tillsyn/S 3217-2025 tillsynsbegäran.docx", "S 3217-2025")</f>
        <v/>
      </c>
      <c r="AD11">
        <f>HYPERLINK("https://klasma.github.io/Logging_1761/tillsynsmail/S 3217-2025 tillsynsbegäran mail.docx", "S 3217-2025")</f>
        <v/>
      </c>
      <c r="AE11">
        <f>HYPERLINK("https://klasma.github.io/Logging_1761/fåglar/S 3217-2025 prioriterade fågelarter.docx", "S 3217-2025")</f>
        <v/>
      </c>
    </row>
    <row r="12" ht="15" customHeight="1">
      <c r="A12" t="inlineStr">
        <is>
          <t>A 41899-2023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45176</v>
      </c>
      <c r="E12" s="1" t="n">
        <v>46322</v>
      </c>
      <c r="F12" t="inlineStr">
        <is>
          <t>VÄRMLANDS LÄN</t>
        </is>
      </c>
      <c r="G12" t="inlineStr">
        <is>
          <t>HAMMARÖ</t>
        </is>
      </c>
      <c r="H12" t="inlineStr">
        <is>
          <t>Övriga Aktiebolag</t>
        </is>
      </c>
      <c r="I12" t="n">
        <v>1.8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Grönsiska</t>
        </is>
      </c>
      <c r="W12">
        <f>HYPERLINK("https://klasma.github.io/Logging_1761/artfynd/A 41899-2023 artfynd.xlsx", "A 41899-2023")</f>
        <v/>
      </c>
      <c r="X12">
        <f>HYPERLINK("https://klasma.github.io/Logging_1761/kartor/A 41899-2023 karta.png", "A 41899-2023")</f>
        <v/>
      </c>
      <c r="Y12">
        <f>HYPERLINK("https://klasma.github.io/Logging_1761/kartor_geotiff/A 41899-2023 georefererad karta.tif", "A 41899-2023")</f>
        <v/>
      </c>
      <c r="AA12">
        <f>HYPERLINK("https://klasma.github.io/Logging_1761/klagomål/A 41899-2023 FSC-klagomål.docx", "A 41899-2023")</f>
        <v/>
      </c>
      <c r="AB12">
        <f>HYPERLINK("https://klasma.github.io/Logging_1761/klagomålsmail/A 41899-2023 FSC-klagomål mail.docx", "A 41899-2023")</f>
        <v/>
      </c>
      <c r="AC12">
        <f>HYPERLINK("https://klasma.github.io/Logging_1761/tillsyn/A 41899-2023 tillsynsbegäran.docx", "A 41899-2023")</f>
        <v/>
      </c>
      <c r="AD12">
        <f>HYPERLINK("https://klasma.github.io/Logging_1761/tillsynsmail/A 41899-2023 tillsynsbegäran mail.docx", "A 41899-2023")</f>
        <v/>
      </c>
    </row>
    <row r="13" ht="15" customHeight="1">
      <c r="A13" t="inlineStr">
        <is>
          <t>A 58382-2024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45632</v>
      </c>
      <c r="E13" s="1" t="n">
        <v>46322</v>
      </c>
      <c r="F13" t="inlineStr">
        <is>
          <t>VÄRMLANDS LÄN</t>
        </is>
      </c>
      <c r="G13" t="inlineStr">
        <is>
          <t>HAMMARÖ</t>
        </is>
      </c>
      <c r="I13" t="n">
        <v>1.6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6</v>
      </c>
      <c r="U13" t="n">
        <v>6</v>
      </c>
      <c r="V13" s="2" t="inlineStr">
        <is>
          <t>Knärot</t>
        </is>
      </c>
      <c r="W13">
        <f>HYPERLINK("https://klasma.github.io/Logging_1761/artfynd/A 58382-2024 artfynd.xlsx", "A 58382-2024")</f>
        <v/>
      </c>
      <c r="X13">
        <f>HYPERLINK("https://klasma.github.io/Logging_1761/kartor/A 58382-2024 karta.png", "A 58382-2024")</f>
        <v/>
      </c>
      <c r="Y13">
        <f>HYPERLINK("https://klasma.github.io/Logging_1761/kartor_geotiff/A 58382-2024 georefererad karta.tif", "A 58382-2024")</f>
        <v/>
      </c>
      <c r="Z13">
        <f>HYPERLINK("https://klasma.github.io/Logging_1761/knärot/A 58382-2024 karta knärot.png", "A 58382-2024")</f>
        <v/>
      </c>
      <c r="AA13">
        <f>HYPERLINK("https://klasma.github.io/Logging_1761/klagomål/A 58382-2024 FSC-klagomål.docx", "A 58382-2024")</f>
        <v/>
      </c>
      <c r="AB13">
        <f>HYPERLINK("https://klasma.github.io/Logging_1761/klagomålsmail/A 58382-2024 FSC-klagomål mail.docx", "A 58382-2024")</f>
        <v/>
      </c>
      <c r="AC13">
        <f>HYPERLINK("https://klasma.github.io/Logging_1761/tillsyn/A 58382-2024 tillsynsbegäran.docx", "A 58382-2024")</f>
        <v/>
      </c>
      <c r="AD13">
        <f>HYPERLINK("https://klasma.github.io/Logging_1761/tillsynsmail/A 58382-2024 tillsynsbegäran mail.docx", "A 58382-2024")</f>
        <v/>
      </c>
    </row>
    <row r="14" ht="15" customHeight="1">
      <c r="A14" t="inlineStr">
        <is>
          <t>A 53276-2023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45229</v>
      </c>
      <c r="E14" s="1" t="n">
        <v>46322</v>
      </c>
      <c r="F14" t="inlineStr">
        <is>
          <t>VÄRMLANDS LÄN</t>
        </is>
      </c>
      <c r="G14" t="inlineStr">
        <is>
          <t>HAMMARÖ</t>
        </is>
      </c>
      <c r="H14" t="inlineStr">
        <is>
          <t>Övriga Aktiebolag</t>
        </is>
      </c>
      <c r="I14" t="n">
        <v>0.3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Vanlig groda</t>
        </is>
      </c>
      <c r="W14">
        <f>HYPERLINK("https://klasma.github.io/Logging_1761/artfynd/A 53276-2023 artfynd.xlsx", "A 53276-2023")</f>
        <v/>
      </c>
      <c r="X14">
        <f>HYPERLINK("https://klasma.github.io/Logging_1761/kartor/A 53276-2023 karta.png", "A 53276-2023")</f>
        <v/>
      </c>
      <c r="Y14">
        <f>HYPERLINK("https://klasma.github.io/Logging_1761/kartor_geotiff/A 53276-2023 georefererad karta.tif", "A 53276-2023")</f>
        <v/>
      </c>
      <c r="AA14">
        <f>HYPERLINK("https://klasma.github.io/Logging_1761/klagomål/A 53276-2023 FSC-klagomål.docx", "A 53276-2023")</f>
        <v/>
      </c>
      <c r="AB14">
        <f>HYPERLINK("https://klasma.github.io/Logging_1761/klagomålsmail/A 53276-2023 FSC-klagomål mail.docx", "A 53276-2023")</f>
        <v/>
      </c>
      <c r="AC14">
        <f>HYPERLINK("https://klasma.github.io/Logging_1761/tillsyn/A 53276-2023 tillsynsbegäran.docx", "A 53276-2023")</f>
        <v/>
      </c>
      <c r="AD14">
        <f>HYPERLINK("https://klasma.github.io/Logging_1761/tillsynsmail/A 53276-2023 tillsynsbegäran mail.docx", "A 53276-2023")</f>
        <v/>
      </c>
    </row>
    <row r="15" ht="15" customHeight="1">
      <c r="A15" t="inlineStr">
        <is>
          <t>A 2769-2023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44944</v>
      </c>
      <c r="E15" s="1" t="n">
        <v>46322</v>
      </c>
      <c r="F15" t="inlineStr">
        <is>
          <t>VÄRMLANDS LÄN</t>
        </is>
      </c>
      <c r="G15" t="inlineStr">
        <is>
          <t>HAMMARÖ</t>
        </is>
      </c>
      <c r="I15" t="n">
        <v>8.699999999999999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3</v>
      </c>
      <c r="U15" t="n">
        <v>3</v>
      </c>
      <c r="V15" s="2" t="inlineStr">
        <is>
          <t>Motaggsvamp</t>
        </is>
      </c>
      <c r="W15">
        <f>HYPERLINK("https://klasma.github.io/Logging_1761/artfynd/A 2769-2023 artfynd.xlsx", "A 2769-2023")</f>
        <v/>
      </c>
      <c r="X15">
        <f>HYPERLINK("https://klasma.github.io/Logging_1761/kartor/A 2769-2023 karta.png", "A 2769-2023")</f>
        <v/>
      </c>
      <c r="Y15">
        <f>HYPERLINK("https://klasma.github.io/Logging_1761/kartor_geotiff/A 2769-2023 georefererad karta.tif", "A 2769-2023")</f>
        <v/>
      </c>
      <c r="AA15">
        <f>HYPERLINK("https://klasma.github.io/Logging_1761/klagomål/A 2769-2023 FSC-klagomål.docx", "A 2769-2023")</f>
        <v/>
      </c>
      <c r="AB15">
        <f>HYPERLINK("https://klasma.github.io/Logging_1761/klagomålsmail/A 2769-2023 FSC-klagomål mail.docx", "A 2769-2023")</f>
        <v/>
      </c>
      <c r="AC15">
        <f>HYPERLINK("https://klasma.github.io/Logging_1761/tillsyn/A 2769-2023 tillsynsbegäran.docx", "A 2769-2023")</f>
        <v/>
      </c>
      <c r="AD15">
        <f>HYPERLINK("https://klasma.github.io/Logging_1761/tillsynsmail/A 2769-2023 tillsynsbegäran mail.docx", "A 2769-2023")</f>
        <v/>
      </c>
    </row>
    <row r="16" ht="15" customHeight="1">
      <c r="A16" t="inlineStr">
        <is>
          <t>A 55068-2023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45237</v>
      </c>
      <c r="E16" s="1" t="n">
        <v>46322</v>
      </c>
      <c r="F16" t="inlineStr">
        <is>
          <t>VÄRMLANDS LÄN</t>
        </is>
      </c>
      <c r="G16" t="inlineStr">
        <is>
          <t>HAMMARÖ</t>
        </is>
      </c>
      <c r="H16" t="inlineStr">
        <is>
          <t>Kommuner</t>
        </is>
      </c>
      <c r="I16" t="n">
        <v>2.4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Motaggsvamp</t>
        </is>
      </c>
      <c r="W16">
        <f>HYPERLINK("https://klasma.github.io/Logging_1761/artfynd/A 55068-2023 artfynd.xlsx", "A 55068-2023")</f>
        <v/>
      </c>
      <c r="X16">
        <f>HYPERLINK("https://klasma.github.io/Logging_1761/kartor/A 55068-2023 karta.png", "A 55068-2023")</f>
        <v/>
      </c>
      <c r="Y16">
        <f>HYPERLINK("https://klasma.github.io/Logging_1761/kartor_geotiff/A 55068-2023 georefererad karta.tif", "A 55068-2023")</f>
        <v/>
      </c>
      <c r="AA16">
        <f>HYPERLINK("https://klasma.github.io/Logging_1761/klagomål/A 55068-2023 FSC-klagomål.docx", "A 55068-2023")</f>
        <v/>
      </c>
      <c r="AB16">
        <f>HYPERLINK("https://klasma.github.io/Logging_1761/klagomålsmail/A 55068-2023 FSC-klagomål mail.docx", "A 55068-2023")</f>
        <v/>
      </c>
      <c r="AC16">
        <f>HYPERLINK("https://klasma.github.io/Logging_1761/tillsyn/A 55068-2023 tillsynsbegäran.docx", "A 55068-2023")</f>
        <v/>
      </c>
      <c r="AD16">
        <f>HYPERLINK("https://klasma.github.io/Logging_1761/tillsynsmail/A 55068-2023 tillsynsbegäran mail.docx", "A 55068-2023")</f>
        <v/>
      </c>
    </row>
    <row r="17" ht="15" customHeight="1">
      <c r="A17" t="inlineStr">
        <is>
          <t>A 13356-2022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44645</v>
      </c>
      <c r="E17" s="1" t="n">
        <v>46322</v>
      </c>
      <c r="F17" t="inlineStr">
        <is>
          <t>VÄRMLANDS LÄN</t>
        </is>
      </c>
      <c r="G17" t="inlineStr">
        <is>
          <t>HAMMARÖ</t>
        </is>
      </c>
      <c r="I17" t="n">
        <v>1.6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42951-2023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45182</v>
      </c>
      <c r="E18" s="1" t="n">
        <v>46322</v>
      </c>
      <c r="F18" t="inlineStr">
        <is>
          <t>VÄRMLANDS LÄN</t>
        </is>
      </c>
      <c r="G18" t="inlineStr">
        <is>
          <t>HAMMARÖ</t>
        </is>
      </c>
      <c r="H18" t="inlineStr">
        <is>
          <t>Övriga Aktiebolag</t>
        </is>
      </c>
      <c r="I18" t="n">
        <v>0.8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42957-2023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45182</v>
      </c>
      <c r="E19" s="1" t="n">
        <v>46322</v>
      </c>
      <c r="F19" t="inlineStr">
        <is>
          <t>VÄRMLANDS LÄN</t>
        </is>
      </c>
      <c r="G19" t="inlineStr">
        <is>
          <t>HAMMARÖ</t>
        </is>
      </c>
      <c r="H19" t="inlineStr">
        <is>
          <t>Övriga Aktiebolag</t>
        </is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57893-2023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45247</v>
      </c>
      <c r="E20" s="1" t="n">
        <v>46322</v>
      </c>
      <c r="F20" t="inlineStr">
        <is>
          <t>VÄRMLANDS LÄN</t>
        </is>
      </c>
      <c r="G20" t="inlineStr">
        <is>
          <t>HAMMARÖ</t>
        </is>
      </c>
      <c r="H20" t="inlineStr">
        <is>
          <t>Kommuner</t>
        </is>
      </c>
      <c r="I20" t="n">
        <v>0.7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55066-2023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45237</v>
      </c>
      <c r="E21" s="1" t="n">
        <v>46322</v>
      </c>
      <c r="F21" t="inlineStr">
        <is>
          <t>VÄRMLANDS LÄN</t>
        </is>
      </c>
      <c r="G21" t="inlineStr">
        <is>
          <t>HAMMARÖ</t>
        </is>
      </c>
      <c r="H21" t="inlineStr">
        <is>
          <t>Kommuner</t>
        </is>
      </c>
      <c r="I21" t="n">
        <v>0.9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53369-2024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45614</v>
      </c>
      <c r="E22" s="1" t="n">
        <v>46322</v>
      </c>
      <c r="F22" t="inlineStr">
        <is>
          <t>VÄRMLANDS LÄN</t>
        </is>
      </c>
      <c r="G22" t="inlineStr">
        <is>
          <t>HAMMARÖ</t>
        </is>
      </c>
      <c r="I22" t="n">
        <v>3.4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58383-2024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45632</v>
      </c>
      <c r="E23" s="1" t="n">
        <v>46322</v>
      </c>
      <c r="F23" t="inlineStr">
        <is>
          <t>VÄRMLANDS LÄN</t>
        </is>
      </c>
      <c r="G23" t="inlineStr">
        <is>
          <t>HAMMARÖ</t>
        </is>
      </c>
      <c r="I23" t="n">
        <v>1.6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42955-2023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45182</v>
      </c>
      <c r="E24" s="1" t="n">
        <v>46322</v>
      </c>
      <c r="F24" t="inlineStr">
        <is>
          <t>VÄRMLANDS LÄN</t>
        </is>
      </c>
      <c r="G24" t="inlineStr">
        <is>
          <t>HAMMARÖ</t>
        </is>
      </c>
      <c r="H24" t="inlineStr">
        <is>
          <t>Övriga Aktiebolag</t>
        </is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42960-2023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45182</v>
      </c>
      <c r="E25" s="1" t="n">
        <v>46322</v>
      </c>
      <c r="F25" t="inlineStr">
        <is>
          <t>VÄRMLANDS LÄN</t>
        </is>
      </c>
      <c r="G25" t="inlineStr">
        <is>
          <t>HAMMARÖ</t>
        </is>
      </c>
      <c r="H25" t="inlineStr">
        <is>
          <t>Övriga Aktiebolag</t>
        </is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55069-2023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45237</v>
      </c>
      <c r="E26" s="1" t="n">
        <v>46322</v>
      </c>
      <c r="F26" t="inlineStr">
        <is>
          <t>VÄRMLANDS LÄN</t>
        </is>
      </c>
      <c r="G26" t="inlineStr">
        <is>
          <t>HAMMARÖ</t>
        </is>
      </c>
      <c r="H26" t="inlineStr">
        <is>
          <t>Kommuner</t>
        </is>
      </c>
      <c r="I26" t="n">
        <v>3.2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51008-2023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45218</v>
      </c>
      <c r="E27" s="1" t="n">
        <v>46322</v>
      </c>
      <c r="F27" t="inlineStr">
        <is>
          <t>VÄRMLANDS LÄN</t>
        </is>
      </c>
      <c r="G27" t="inlineStr">
        <is>
          <t>HAMMARÖ</t>
        </is>
      </c>
      <c r="H27" t="inlineStr">
        <is>
          <t>Kommuner</t>
        </is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41895-2023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45176</v>
      </c>
      <c r="E28" s="1" t="n">
        <v>46322</v>
      </c>
      <c r="F28" t="inlineStr">
        <is>
          <t>VÄRMLANDS LÄN</t>
        </is>
      </c>
      <c r="G28" t="inlineStr">
        <is>
          <t>HAMMARÖ</t>
        </is>
      </c>
      <c r="H28" t="inlineStr">
        <is>
          <t>Övriga Aktiebolag</t>
        </is>
      </c>
      <c r="I28" t="n">
        <v>0.6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13354-2022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44645</v>
      </c>
      <c r="E29" s="1" t="n">
        <v>46322</v>
      </c>
      <c r="F29" t="inlineStr">
        <is>
          <t>VÄRMLANDS LÄN</t>
        </is>
      </c>
      <c r="G29" t="inlineStr">
        <is>
          <t>HAMMARÖ</t>
        </is>
      </c>
      <c r="I29" t="n">
        <v>1.1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37934-2024</t>
        </is>
      </c>
      <c r="B30" t="inlineStr">
        <is>
          <t>avverkningsanmälan</t>
        </is>
      </c>
      <c r="C30" t="inlineStr">
        <is>
          <t>Avverkning för annat ändamål</t>
        </is>
      </c>
      <c r="D30" s="1" t="n">
        <v>45544</v>
      </c>
      <c r="E30" s="1" t="n">
        <v>46322</v>
      </c>
      <c r="F30" t="inlineStr">
        <is>
          <t>VÄRMLANDS LÄN</t>
        </is>
      </c>
      <c r="G30" t="inlineStr">
        <is>
          <t>HAMMARÖ</t>
        </is>
      </c>
      <c r="I30" t="n">
        <v>1.3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56799-2022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44894</v>
      </c>
      <c r="E31" s="1" t="n">
        <v>46322</v>
      </c>
      <c r="F31" t="inlineStr">
        <is>
          <t>VÄRMLANDS LÄN</t>
        </is>
      </c>
      <c r="G31" t="inlineStr">
        <is>
          <t>HAMMARÖ</t>
        </is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>
      <c r="A32" t="inlineStr">
        <is>
          <t>S 1429-2024</t>
        </is>
      </c>
      <c r="B32" t="inlineStr">
        <is>
          <t>samrådsanmälan</t>
        </is>
      </c>
      <c r="C32" t="inlineStr">
        <is>
          <t>Skogsgödsling</t>
        </is>
      </c>
      <c r="D32" s="1" t="n">
        <v>45415</v>
      </c>
      <c r="E32" s="1" t="n">
        <v>46322</v>
      </c>
      <c r="F32" t="inlineStr">
        <is>
          <t>VÄRMLANDS LÄN</t>
        </is>
      </c>
      <c r="G32" t="inlineStr">
        <is>
          <t>HAMMARÖ</t>
        </is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2026-10-27T03:08:06Z</dcterms:created>
  <dcterms:modified xmlns:dcterms="http://purl.org/dc/terms/" xmlns:xsi="http://www.w3.org/2001/XMLSchema-instance" xsi:type="dcterms:W3CDTF">2026-10-27T03:08:06Z</dcterms:modified>
</cp:coreProperties>
</file>