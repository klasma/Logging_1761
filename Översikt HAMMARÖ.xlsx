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46275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46275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46275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46275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46275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46275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46275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46275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46275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46275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46275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46275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46275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55068-2023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46275</v>
      </c>
      <c r="F15" t="inlineStr">
        <is>
          <t>VÄRMLANDS LÄN</t>
        </is>
      </c>
      <c r="G15" t="inlineStr">
        <is>
          <t>HAMMARÖ</t>
        </is>
      </c>
      <c r="H15" t="inlineStr">
        <is>
          <t>Kommuner</t>
        </is>
      </c>
      <c r="I15" t="n">
        <v>2.4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Motaggsvamp</t>
        </is>
      </c>
      <c r="W15">
        <f>HYPERLINK("https://klasma.github.io/Logging_1761/artfynd/A 55068-2023 artfynd.xlsx", "A 55068-2023")</f>
        <v/>
      </c>
      <c r="X15">
        <f>HYPERLINK("https://klasma.github.io/Logging_1761/kartor/A 55068-2023 karta.png", "A 55068-2023")</f>
        <v/>
      </c>
      <c r="Y15">
        <f>HYPERLINK("https://klasma.github.io/Logging_1761/kartor_geotiff/A 55068-2023 georefererad karta.tif", "A 55068-2023")</f>
        <v/>
      </c>
      <c r="AA15">
        <f>HYPERLINK("https://klasma.github.io/Logging_1761/klagomål/A 55068-2023 FSC-klagomål.docx", "A 55068-2023")</f>
        <v/>
      </c>
      <c r="AB15">
        <f>HYPERLINK("https://klasma.github.io/Logging_1761/klagomålsmail/A 55068-2023 FSC-klagomål mail.docx", "A 55068-2023")</f>
        <v/>
      </c>
      <c r="AC15">
        <f>HYPERLINK("https://klasma.github.io/Logging_1761/tillsyn/A 55068-2023 tillsynsbegäran.docx", "A 55068-2023")</f>
        <v/>
      </c>
      <c r="AD15">
        <f>HYPERLINK("https://klasma.github.io/Logging_1761/tillsynsmail/A 55068-2023 tillsynsbegäran mail.docx", "A 55068-2023")</f>
        <v/>
      </c>
    </row>
    <row r="16" ht="15" customHeight="1">
      <c r="A16" t="inlineStr">
        <is>
          <t>A 2769-2023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44944</v>
      </c>
      <c r="E16" s="1" t="n">
        <v>46275</v>
      </c>
      <c r="F16" t="inlineStr">
        <is>
          <t>VÄRMLANDS LÄN</t>
        </is>
      </c>
      <c r="G16" t="inlineStr">
        <is>
          <t>HAMMARÖ</t>
        </is>
      </c>
      <c r="I16" t="n">
        <v>8.699999999999999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Motaggsvamp</t>
        </is>
      </c>
      <c r="W16">
        <f>HYPERLINK("https://klasma.github.io/Logging_1761/artfynd/A 2769-2023 artfynd.xlsx", "A 2769-2023")</f>
        <v/>
      </c>
      <c r="X16">
        <f>HYPERLINK("https://klasma.github.io/Logging_1761/kartor/A 2769-2023 karta.png", "A 2769-2023")</f>
        <v/>
      </c>
      <c r="Y16">
        <f>HYPERLINK("https://klasma.github.io/Logging_1761/kartor_geotiff/A 2769-2023 georefererad karta.tif", "A 2769-2023")</f>
        <v/>
      </c>
      <c r="AA16">
        <f>HYPERLINK("https://klasma.github.io/Logging_1761/klagomål/A 2769-2023 FSC-klagomål.docx", "A 2769-2023")</f>
        <v/>
      </c>
      <c r="AB16">
        <f>HYPERLINK("https://klasma.github.io/Logging_1761/klagomålsmail/A 2769-2023 FSC-klagomål mail.docx", "A 2769-2023")</f>
        <v/>
      </c>
      <c r="AC16">
        <f>HYPERLINK("https://klasma.github.io/Logging_1761/tillsyn/A 2769-2023 tillsynsbegäran.docx", "A 2769-2023")</f>
        <v/>
      </c>
      <c r="AD16">
        <f>HYPERLINK("https://klasma.github.io/Logging_1761/tillsynsmail/A 2769-2023 tillsynsbegäran mail.docx", "A 2769-2023")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46275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41895-2023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45176</v>
      </c>
      <c r="E18" s="1" t="n">
        <v>46275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13356-2022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44645</v>
      </c>
      <c r="E19" s="1" t="n">
        <v>46275</v>
      </c>
      <c r="F19" t="inlineStr">
        <is>
          <t>VÄRMLANDS LÄN</t>
        </is>
      </c>
      <c r="G19" t="inlineStr">
        <is>
          <t>HAMMARÖ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51008-2023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45218</v>
      </c>
      <c r="E20" s="1" t="n">
        <v>46275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42951-2023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45182</v>
      </c>
      <c r="E21" s="1" t="n">
        <v>46275</v>
      </c>
      <c r="F21" t="inlineStr">
        <is>
          <t>VÄRMLANDS LÄN</t>
        </is>
      </c>
      <c r="G21" t="inlineStr">
        <is>
          <t>HAMMARÖ</t>
        </is>
      </c>
      <c r="H21" t="inlineStr">
        <is>
          <t>Övriga Aktiebolag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46275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46275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46275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46275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57893-2023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45247</v>
      </c>
      <c r="E26" s="1" t="n">
        <v>46275</v>
      </c>
      <c r="F26" t="inlineStr">
        <is>
          <t>VÄRMLANDS LÄN</t>
        </is>
      </c>
      <c r="G26" t="inlineStr">
        <is>
          <t>HAMMARÖ</t>
        </is>
      </c>
      <c r="H26" t="inlineStr">
        <is>
          <t>Kommuner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37934-2024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45544</v>
      </c>
      <c r="E27" s="1" t="n">
        <v>46275</v>
      </c>
      <c r="F27" t="inlineStr">
        <is>
          <t>VÄRMLANDS LÄN</t>
        </is>
      </c>
      <c r="G27" t="inlineStr">
        <is>
          <t>HAMMARÖ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44894</v>
      </c>
      <c r="E28" s="1" t="n">
        <v>46275</v>
      </c>
      <c r="F28" t="inlineStr">
        <is>
          <t>VÄRMLANDS LÄN</t>
        </is>
      </c>
      <c r="G28" t="inlineStr">
        <is>
          <t>HAMMARÖ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58383-2024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46275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53369-2024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45614</v>
      </c>
      <c r="E30" s="1" t="n">
        <v>46275</v>
      </c>
      <c r="F30" t="inlineStr">
        <is>
          <t>VÄRMLANDS LÄN</t>
        </is>
      </c>
      <c r="G30" t="inlineStr">
        <is>
          <t>HAMMARÖ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46275</v>
      </c>
      <c r="F31" t="inlineStr">
        <is>
          <t>VÄRMLANDS LÄN</t>
        </is>
      </c>
      <c r="G31" t="inlineStr">
        <is>
          <t>HAMMARÖ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45237</v>
      </c>
      <c r="E32" s="1" t="n">
        <v>46275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46275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2026-09-10T02:13:08Z</dcterms:created>
  <dcterms:modified xmlns:dcterms="http://purl.org/dc/terms/" xmlns:xsi="http://www.w3.org/2001/XMLSchema-instance" xsi:type="dcterms:W3CDTF">2026-09-10T02:13:08Z</dcterms:modified>
</cp:coreProperties>
</file>