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46048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46048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46048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46048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46048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46048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46048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46048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7593-2025</t>
        </is>
      </c>
      <c r="B10" s="1" t="n">
        <v>45705</v>
      </c>
      <c r="C10" s="1" t="n">
        <v>46048</v>
      </c>
      <c r="D10" t="inlineStr">
        <is>
          <t>VÄRMLANDS LÄN</t>
        </is>
      </c>
      <c r="E10" t="inlineStr">
        <is>
          <t>HAMMARÖ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Trollpipistrell</t>
        </is>
      </c>
      <c r="S10">
        <f>HYPERLINK("https://klasma.github.io/Logging_1761/artfynd/A 7593-2025 artfynd.xlsx", "A 7593-2025")</f>
        <v/>
      </c>
      <c r="T10">
        <f>HYPERLINK("https://klasma.github.io/Logging_1761/kartor/A 7593-2025 karta.png", "A 7593-2025")</f>
        <v/>
      </c>
      <c r="V10">
        <f>HYPERLINK("https://klasma.github.io/Logging_1761/klagomål/A 7593-2025 FSC-klagomål.docx", "A 7593-2025")</f>
        <v/>
      </c>
      <c r="W10">
        <f>HYPERLINK("https://klasma.github.io/Logging_1761/klagomålsmail/A 7593-2025 FSC-klagomål mail.docx", "A 7593-2025")</f>
        <v/>
      </c>
      <c r="X10">
        <f>HYPERLINK("https://klasma.github.io/Logging_1761/tillsyn/A 7593-2025 tillsynsbegäran.docx", "A 7593-2025")</f>
        <v/>
      </c>
      <c r="Y10">
        <f>HYPERLINK("https://klasma.github.io/Logging_1761/tillsynsmail/A 7593-2025 tillsynsbegäran mail.docx", "A 7593-2025")</f>
        <v/>
      </c>
    </row>
    <row r="11" ht="15" customHeight="1">
      <c r="A11" t="inlineStr">
        <is>
          <t>A 58382-2024</t>
        </is>
      </c>
      <c r="B11" s="1" t="n">
        <v>45632</v>
      </c>
      <c r="C11" s="1" t="n">
        <v>46048</v>
      </c>
      <c r="D11" t="inlineStr">
        <is>
          <t>VÄRMLANDS LÄN</t>
        </is>
      </c>
      <c r="E11" t="inlineStr">
        <is>
          <t>HAMMARÖ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58382-2024 artfynd.xlsx", "A 58382-2024")</f>
        <v/>
      </c>
      <c r="T11">
        <f>HYPERLINK("https://klasma.github.io/Logging_1761/kartor/A 58382-2024 karta.png", "A 58382-2024")</f>
        <v/>
      </c>
      <c r="U11">
        <f>HYPERLINK("https://klasma.github.io/Logging_1761/knärot/A 58382-2024 karta knärot.png", "A 58382-2024")</f>
        <v/>
      </c>
      <c r="V11">
        <f>HYPERLINK("https://klasma.github.io/Logging_1761/klagomål/A 58382-2024 FSC-klagomål.docx", "A 58382-2024")</f>
        <v/>
      </c>
      <c r="W11">
        <f>HYPERLINK("https://klasma.github.io/Logging_1761/klagomålsmail/A 58382-2024 FSC-klagomål mail.docx", "A 58382-2024")</f>
        <v/>
      </c>
      <c r="X11">
        <f>HYPERLINK("https://klasma.github.io/Logging_1761/tillsyn/A 58382-2024 tillsynsbegäran.docx", "A 58382-2024")</f>
        <v/>
      </c>
      <c r="Y11">
        <f>HYPERLINK("https://klasma.github.io/Logging_1761/tillsynsmail/A 58382-2024 tillsynsbegäran mail.docx", "A 58382-2024")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46048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45407-2025</t>
        </is>
      </c>
      <c r="B13" s="1" t="n">
        <v>45922</v>
      </c>
      <c r="C13" s="1" t="n">
        <v>46048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46048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46048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46048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46048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55066-2023</t>
        </is>
      </c>
      <c r="B18" s="1" t="n">
        <v>45237</v>
      </c>
      <c r="C18" s="1" t="n">
        <v>46048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41899-2023</t>
        </is>
      </c>
      <c r="B19" s="1" t="n">
        <v>45176</v>
      </c>
      <c r="C19" s="1" t="n">
        <v>46048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41895-2023</t>
        </is>
      </c>
      <c r="B20" s="1" t="n">
        <v>45176</v>
      </c>
      <c r="C20" s="1" t="n">
        <v>46048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53369-2024</t>
        </is>
      </c>
      <c r="B21" s="1" t="n">
        <v>45614</v>
      </c>
      <c r="C21" s="1" t="n">
        <v>46048</v>
      </c>
      <c r="D21" t="inlineStr">
        <is>
          <t>VÄRMLANDS LÄN</t>
        </is>
      </c>
      <c r="E21" t="inlineStr">
        <is>
          <t>HAMMARÖ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46048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46048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42955-2023</t>
        </is>
      </c>
      <c r="B24" s="1" t="n">
        <v>45182</v>
      </c>
      <c r="C24" s="1" t="n">
        <v>46048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42960-2023</t>
        </is>
      </c>
      <c r="B25" s="1" t="n">
        <v>45182</v>
      </c>
      <c r="C25" s="1" t="n">
        <v>46048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46048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46048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51008-2023</t>
        </is>
      </c>
      <c r="B28" s="1" t="n">
        <v>45218</v>
      </c>
      <c r="C28" s="1" t="n">
        <v>46048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46048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46048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46048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46048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45423-2025</t>
        </is>
      </c>
      <c r="B33" s="1" t="n">
        <v>45922.45137731481</v>
      </c>
      <c r="C33" s="1" t="n">
        <v>46048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57893-2023</t>
        </is>
      </c>
      <c r="B34" s="1" t="n">
        <v>45247</v>
      </c>
      <c r="C34" s="1" t="n">
        <v>46048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41661-2025</t>
        </is>
      </c>
      <c r="B35" s="1" t="n">
        <v>45902</v>
      </c>
      <c r="C35" s="1" t="n">
        <v>46048</v>
      </c>
      <c r="D35" t="inlineStr">
        <is>
          <t>VÄRMLANDS LÄN</t>
        </is>
      </c>
      <c r="E35" t="inlineStr">
        <is>
          <t>HAMMARÖ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2026-01-26T11:06:57Z</dcterms:created>
  <dcterms:modified xmlns:dcterms="http://purl.org/dc/terms/" xmlns:xsi="http://www.w3.org/2001/XMLSchema-instance" xsi:type="dcterms:W3CDTF">2026-01-26T11:06:57Z</dcterms:modified>
</cp:coreProperties>
</file>