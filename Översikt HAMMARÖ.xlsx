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45832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45832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45832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45832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HYPERLINK("https://klasma.github.io/Logging_171761/artfynd/A 10795-2025 artfynd.xlsx", "A 10795-2025")</f>
        <v/>
      </c>
      <c r="T5">
        <f>HYPERLINK("https://klasma.github.io/Logging_171761/kartor/A 10795-2025 karta.png", "A 10795-2025")</f>
        <v/>
      </c>
      <c r="V5">
        <f>HYPERLINK("https://klasma.github.io/Logging_171761/klagomål/A 10795-2025 FSC-klagomål.docx", "A 10795-2025")</f>
        <v/>
      </c>
      <c r="W5">
        <f>HYPERLINK("https://klasma.github.io/Logging_171761/klagomålsmail/A 10795-2025 FSC-klagomål mail.docx", "A 10795-2025")</f>
        <v/>
      </c>
      <c r="X5">
        <f>HYPERLINK("https://klasma.github.io/Logging_171761/tillsyn/A 10795-2025 tillsynsbegäran.docx", "A 10795-2025")</f>
        <v/>
      </c>
      <c r="Y5">
        <f>HYPERLINK("https://klasma.github.io/Logging_171761/tillsynsmail/A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45832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20755-2021</t>
        </is>
      </c>
      <c r="B7" s="1" t="n">
        <v>44316</v>
      </c>
      <c r="C7" s="1" t="n">
        <v>45832</v>
      </c>
      <c r="D7" t="inlineStr">
        <is>
          <t>VÄRMLANDS LÄN</t>
        </is>
      </c>
      <c r="E7" t="inlineStr">
        <is>
          <t>HAMMARÖ</t>
        </is>
      </c>
      <c r="G7" t="n">
        <v>16.8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Gulsparv</t>
        </is>
      </c>
      <c r="S7">
        <f>HYPERLINK("https://klasma.github.io/Logging_1761/artfynd/A 20755-2021 artfynd.xlsx", "A 20755-2021")</f>
        <v/>
      </c>
      <c r="T7">
        <f>HYPERLINK("https://klasma.github.io/Logging_1761/kartor/A 20755-2021 karta.png", "A 20755-2021")</f>
        <v/>
      </c>
      <c r="V7">
        <f>HYPERLINK("https://klasma.github.io/Logging_1761/klagomål/A 20755-2021 FSC-klagomål.docx", "A 20755-2021")</f>
        <v/>
      </c>
      <c r="W7">
        <f>HYPERLINK("https://klasma.github.io/Logging_1761/klagomålsmail/A 20755-2021 FSC-klagomål mail.docx", "A 20755-2021")</f>
        <v/>
      </c>
      <c r="X7">
        <f>HYPERLINK("https://klasma.github.io/Logging_1761/tillsyn/A 20755-2021 tillsynsbegäran.docx", "A 20755-2021")</f>
        <v/>
      </c>
      <c r="Y7">
        <f>HYPERLINK("https://klasma.github.io/Logging_1761/tillsynsmail/A 20755-2021 tillsynsbegäran mail.docx", "A 20755-2021")</f>
        <v/>
      </c>
      <c r="Z7">
        <f>HYPERLINK("https://klasma.github.io/Logging_1761/fåglar/A 20755-2021 prioriterade fågelarter.docx", "A 20755-2021")</f>
        <v/>
      </c>
    </row>
    <row r="8" ht="15" customHeight="1">
      <c r="A8" t="inlineStr">
        <is>
          <t>A 24618-2022</t>
        </is>
      </c>
      <c r="B8" s="1" t="n">
        <v>44727</v>
      </c>
      <c r="C8" s="1" t="n">
        <v>45832</v>
      </c>
      <c r="D8" t="inlineStr">
        <is>
          <t>VÄRMLANDS LÄN</t>
        </is>
      </c>
      <c r="E8" t="inlineStr">
        <is>
          <t>HAMMARÖ</t>
        </is>
      </c>
      <c r="F8" t="inlineStr">
        <is>
          <t>Kommuner</t>
        </is>
      </c>
      <c r="G8" t="n">
        <v>4.6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HYPERLINK("https://klasma.github.io/Logging_1761/artfynd/A 24618-2022 artfynd.xlsx", "A 24618-2022")</f>
        <v/>
      </c>
      <c r="T8">
        <f>HYPERLINK("https://klasma.github.io/Logging_1761/kartor/A 24618-2022 karta.png", "A 24618-2022")</f>
        <v/>
      </c>
      <c r="U8">
        <f>HYPERLINK("https://klasma.github.io/Logging_1761/knärot/A 24618-2022 karta knärot.png", "A 24618-2022")</f>
        <v/>
      </c>
      <c r="V8">
        <f>HYPERLINK("https://klasma.github.io/Logging_1761/klagomål/A 24618-2022 FSC-klagomål.docx", "A 24618-2022")</f>
        <v/>
      </c>
      <c r="W8">
        <f>HYPERLINK("https://klasma.github.io/Logging_1761/klagomålsmail/A 24618-2022 FSC-klagomål mail.docx", "A 24618-2022")</f>
        <v/>
      </c>
      <c r="X8">
        <f>HYPERLINK("https://klasma.github.io/Logging_1761/tillsyn/A 24618-2022 tillsynsbegäran.docx", "A 24618-2022")</f>
        <v/>
      </c>
      <c r="Y8">
        <f>HYPERLINK("https://klasma.github.io/Logging_1761/tillsynsmail/A 24618-2022 tillsynsbegäran mail.docx", "A 24618-2022")</f>
        <v/>
      </c>
    </row>
    <row r="9" ht="15" customHeight="1">
      <c r="A9" t="inlineStr">
        <is>
          <t>A 41803-2023</t>
        </is>
      </c>
      <c r="B9" s="1" t="n">
        <v>45176</v>
      </c>
      <c r="C9" s="1" t="n">
        <v>45832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HYPERLINK("https://klasma.github.io/Logging_1761/artfynd/A 41803-2023 artfynd.xlsx", "A 41803-2023")</f>
        <v/>
      </c>
      <c r="T9">
        <f>HYPERLINK("https://klasma.github.io/Logging_1761/kartor/A 41803-2023 karta.png", "A 41803-2023")</f>
        <v/>
      </c>
      <c r="V9">
        <f>HYPERLINK("https://klasma.github.io/Logging_1761/klagomål/A 41803-2023 FSC-klagomål.docx", "A 41803-2023")</f>
        <v/>
      </c>
      <c r="W9">
        <f>HYPERLINK("https://klasma.github.io/Logging_1761/klagomålsmail/A 41803-2023 FSC-klagomål mail.docx", "A 41803-2023")</f>
        <v/>
      </c>
      <c r="X9">
        <f>HYPERLINK("https://klasma.github.io/Logging_1761/tillsyn/A 41803-2023 tillsynsbegäran.docx", "A 41803-2023")</f>
        <v/>
      </c>
      <c r="Y9">
        <f>HYPERLINK("https://klasma.github.io/Logging_1761/tillsynsmail/A 41803-2023 tillsynsbegäran mail.docx", "A 41803-2023")</f>
        <v/>
      </c>
      <c r="Z9">
        <f>HYPERLINK("https://klasma.github.io/Logging_1761/fåglar/A 41803-2023 prioriterade fågelarter.docx", "A 41803-2023")</f>
        <v/>
      </c>
    </row>
    <row r="10" ht="15" customHeight="1">
      <c r="A10" t="inlineStr">
        <is>
          <t>A 42303-2023</t>
        </is>
      </c>
      <c r="B10" s="1" t="n">
        <v>45180</v>
      </c>
      <c r="C10" s="1" t="n">
        <v>45832</v>
      </c>
      <c r="D10" t="inlineStr">
        <is>
          <t>VÄRMLANDS LÄN</t>
        </is>
      </c>
      <c r="E10" t="inlineStr">
        <is>
          <t>HAMMARÖ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42303-2023 artfynd.xlsx", "A 42303-2023")</f>
        <v/>
      </c>
      <c r="T10">
        <f>HYPERLINK("https://klasma.github.io/Logging_1761/kartor/A 42303-2023 karta.png", "A 42303-2023")</f>
        <v/>
      </c>
      <c r="V10">
        <f>HYPERLINK("https://klasma.github.io/Logging_1761/klagomål/A 42303-2023 FSC-klagomål.docx", "A 42303-2023")</f>
        <v/>
      </c>
      <c r="W10">
        <f>HYPERLINK("https://klasma.github.io/Logging_1761/klagomålsmail/A 42303-2023 FSC-klagomål mail.docx", "A 42303-2023")</f>
        <v/>
      </c>
      <c r="X10">
        <f>HYPERLINK("https://klasma.github.io/Logging_1761/tillsyn/A 42303-2023 tillsynsbegäran.docx", "A 42303-2023")</f>
        <v/>
      </c>
      <c r="Y10">
        <f>HYPERLINK("https://klasma.github.io/Logging_1761/tillsynsmail/A 42303-2023 tillsynsbegäran mail.docx", "A 42303-2023")</f>
        <v/>
      </c>
      <c r="Z10">
        <f>HYPERLINK("https://klasma.github.io/Logging_1761/fåglar/A 42303-2023 prioriterade fågelarter.docx", "A 42303-2023")</f>
        <v/>
      </c>
    </row>
    <row r="11" ht="15" customHeight="1">
      <c r="A11" t="inlineStr">
        <is>
          <t>A 42337-2023</t>
        </is>
      </c>
      <c r="B11" s="1" t="n">
        <v>45180</v>
      </c>
      <c r="C11" s="1" t="n">
        <v>45832</v>
      </c>
      <c r="D11" t="inlineStr">
        <is>
          <t>VÄRMLANDS LÄN</t>
        </is>
      </c>
      <c r="E11" t="inlineStr">
        <is>
          <t>HAMMARÖ</t>
        </is>
      </c>
      <c r="F11" t="inlineStr">
        <is>
          <t>Övriga Aktiebolag</t>
        </is>
      </c>
      <c r="G11" t="n">
        <v>9.6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flugsnappare</t>
        </is>
      </c>
      <c r="S11">
        <f>HYPERLINK("https://klasma.github.io/Logging_1761/artfynd/A 42337-2023 artfynd.xlsx", "A 42337-2023")</f>
        <v/>
      </c>
      <c r="T11">
        <f>HYPERLINK("https://klasma.github.io/Logging_1761/kartor/A 42337-2023 karta.png", "A 42337-2023")</f>
        <v/>
      </c>
      <c r="V11">
        <f>HYPERLINK("https://klasma.github.io/Logging_1761/klagomål/A 42337-2023 FSC-klagomål.docx", "A 42337-2023")</f>
        <v/>
      </c>
      <c r="W11">
        <f>HYPERLINK("https://klasma.github.io/Logging_1761/klagomålsmail/A 42337-2023 FSC-klagomål mail.docx", "A 42337-2023")</f>
        <v/>
      </c>
      <c r="X11">
        <f>HYPERLINK("https://klasma.github.io/Logging_1761/tillsyn/A 42337-2023 tillsynsbegäran.docx", "A 42337-2023")</f>
        <v/>
      </c>
      <c r="Y11">
        <f>HYPERLINK("https://klasma.github.io/Logging_1761/tillsynsmail/A 42337-2023 tillsynsbegäran mail.docx", "A 42337-2023")</f>
        <v/>
      </c>
      <c r="Z11">
        <f>HYPERLINK("https://klasma.github.io/Logging_1761/fåglar/A 42337-2023 prioriterade fågelarter.docx", "A 42337-2023")</f>
        <v/>
      </c>
    </row>
    <row r="12" ht="15" customHeight="1">
      <c r="A12" t="inlineStr">
        <is>
          <t>A 42339-2023</t>
        </is>
      </c>
      <c r="B12" s="1" t="n">
        <v>45180</v>
      </c>
      <c r="C12" s="1" t="n">
        <v>45832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HYPERLINK("https://klasma.github.io/Logging_1761/artfynd/A 42339-2023 artfynd.xlsx", "A 42339-2023")</f>
        <v/>
      </c>
      <c r="T12">
        <f>HYPERLINK("https://klasma.github.io/Logging_1761/kartor/A 42339-2023 karta.png", "A 42339-2023")</f>
        <v/>
      </c>
      <c r="V12">
        <f>HYPERLINK("https://klasma.github.io/Logging_1761/klagomål/A 42339-2023 FSC-klagomål.docx", "A 42339-2023")</f>
        <v/>
      </c>
      <c r="W12">
        <f>HYPERLINK("https://klasma.github.io/Logging_1761/klagomålsmail/A 42339-2023 FSC-klagomål mail.docx", "A 42339-2023")</f>
        <v/>
      </c>
      <c r="X12">
        <f>HYPERLINK("https://klasma.github.io/Logging_1761/tillsyn/A 42339-2023 tillsynsbegäran.docx", "A 42339-2023")</f>
        <v/>
      </c>
      <c r="Y12">
        <f>HYPERLINK("https://klasma.github.io/Logging_1761/tillsynsmail/A 42339-2023 tillsynsbegäran mail.docx", "A 42339-2023")</f>
        <v/>
      </c>
      <c r="Z12">
        <f>HYPERLINK("https://klasma.github.io/Logging_1761/fåglar/A 42339-2023 prioriterade fågelarter.docx", "A 42339-2023")</f>
        <v/>
      </c>
    </row>
    <row r="13" ht="15" customHeight="1">
      <c r="A13" t="inlineStr">
        <is>
          <t>A 53276-2023</t>
        </is>
      </c>
      <c r="B13" s="1" t="n">
        <v>45229</v>
      </c>
      <c r="C13" s="1" t="n">
        <v>45832</v>
      </c>
      <c r="D13" t="inlineStr">
        <is>
          <t>VÄRMLANDS LÄN</t>
        </is>
      </c>
      <c r="E13" t="inlineStr">
        <is>
          <t>HAMMARÖ</t>
        </is>
      </c>
      <c r="F13" t="inlineStr">
        <is>
          <t>Övriga Aktiebolag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Mindre flugsnappare</t>
        </is>
      </c>
      <c r="S13">
        <f>HYPERLINK("https://klasma.github.io/Logging_1761/artfynd/A 53276-2023 artfynd.xlsx", "A 53276-2023")</f>
        <v/>
      </c>
      <c r="T13">
        <f>HYPERLINK("https://klasma.github.io/Logging_1761/kartor/A 53276-2023 karta.png", "A 53276-2023")</f>
        <v/>
      </c>
      <c r="V13">
        <f>HYPERLINK("https://klasma.github.io/Logging_1761/klagomål/A 53276-2023 FSC-klagomål.docx", "A 53276-2023")</f>
        <v/>
      </c>
      <c r="W13">
        <f>HYPERLINK("https://klasma.github.io/Logging_1761/klagomålsmail/A 53276-2023 FSC-klagomål mail.docx", "A 53276-2023")</f>
        <v/>
      </c>
      <c r="X13">
        <f>HYPERLINK("https://klasma.github.io/Logging_1761/tillsyn/A 53276-2023 tillsynsbegäran.docx", "A 53276-2023")</f>
        <v/>
      </c>
      <c r="Y13">
        <f>HYPERLINK("https://klasma.github.io/Logging_1761/tillsynsmail/A 53276-2023 tillsynsbegäran mail.docx", "A 53276-2023")</f>
        <v/>
      </c>
      <c r="Z13">
        <f>HYPERLINK("https://klasma.github.io/Logging_1761/fåglar/A 53276-2023 prioriterade fågelarter.docx", "A 53276-2023")</f>
        <v/>
      </c>
    </row>
    <row r="14" ht="15" customHeight="1">
      <c r="A14" t="inlineStr">
        <is>
          <t>A 55068-2023</t>
        </is>
      </c>
      <c r="B14" s="1" t="n">
        <v>45237</v>
      </c>
      <c r="C14" s="1" t="n">
        <v>45832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HYPERLINK("https://klasma.github.io/Logging_1761/artfynd/A 55068-2023 artfynd.xlsx", "A 55068-2023")</f>
        <v/>
      </c>
      <c r="T14">
        <f>HYPERLINK("https://klasma.github.io/Logging_1761/kartor/A 55068-2023 karta.png", "A 55068-2023")</f>
        <v/>
      </c>
      <c r="V14">
        <f>HYPERLINK("https://klasma.github.io/Logging_1761/klagomål/A 55068-2023 FSC-klagomål.docx", "A 55068-2023")</f>
        <v/>
      </c>
      <c r="W14">
        <f>HYPERLINK("https://klasma.github.io/Logging_1761/klagomålsmail/A 55068-2023 FSC-klagomål mail.docx", "A 55068-2023")</f>
        <v/>
      </c>
      <c r="X14">
        <f>HYPERLINK("https://klasma.github.io/Logging_1761/tillsyn/A 55068-2023 tillsynsbegäran.docx", "A 55068-2023")</f>
        <v/>
      </c>
      <c r="Y14">
        <f>HYPERLINK("https://klasma.github.io/Logging_1761/tillsynsmail/A 55068-2023 tillsynsbegäran mail.docx", "A 55068-2023")</f>
        <v/>
      </c>
    </row>
    <row r="15" ht="15" customHeight="1">
      <c r="A15" t="inlineStr">
        <is>
          <t>A 7593-2025</t>
        </is>
      </c>
      <c r="B15" s="1" t="n">
        <v>45705</v>
      </c>
      <c r="C15" s="1" t="n">
        <v>45832</v>
      </c>
      <c r="D15" t="inlineStr">
        <is>
          <t>VÄRMLANDS LÄN</t>
        </is>
      </c>
      <c r="E15" t="inlineStr">
        <is>
          <t>HAMMARÖ</t>
        </is>
      </c>
      <c r="G15" t="n">
        <v>1.3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Trollpipistrell</t>
        </is>
      </c>
      <c r="S15">
        <f>HYPERLINK("https://klasma.github.io/Logging_1761/artfynd/A 7593-2025 artfynd.xlsx", "A 7593-2025")</f>
        <v/>
      </c>
      <c r="T15">
        <f>HYPERLINK("https://klasma.github.io/Logging_1761/kartor/A 7593-2025 karta.png", "A 7593-2025")</f>
        <v/>
      </c>
      <c r="V15">
        <f>HYPERLINK("https://klasma.github.io/Logging_1761/klagomål/A 7593-2025 FSC-klagomål.docx", "A 7593-2025")</f>
        <v/>
      </c>
      <c r="W15">
        <f>HYPERLINK("https://klasma.github.io/Logging_1761/klagomålsmail/A 7593-2025 FSC-klagomål mail.docx", "A 7593-2025")</f>
        <v/>
      </c>
      <c r="X15">
        <f>HYPERLINK("https://klasma.github.io/Logging_1761/tillsyn/A 7593-2025 tillsynsbegäran.docx", "A 7593-2025")</f>
        <v/>
      </c>
      <c r="Y15">
        <f>HYPERLINK("https://klasma.github.io/Logging_1761/tillsynsmail/A 7593-2025 tillsynsbegäran mail.docx", "A 7593-2025")</f>
        <v/>
      </c>
    </row>
    <row r="16" ht="15" customHeight="1">
      <c r="A16" t="inlineStr">
        <is>
          <t>A 23183-2020</t>
        </is>
      </c>
      <c r="B16" s="1" t="n">
        <v>43966</v>
      </c>
      <c r="C16" s="1" t="n">
        <v>45832</v>
      </c>
      <c r="D16" t="inlineStr">
        <is>
          <t>VÄRMLANDS LÄN</t>
        </is>
      </c>
      <c r="E16" t="inlineStr">
        <is>
          <t>HAMMARÖ</t>
        </is>
      </c>
      <c r="F16" t="inlineStr">
        <is>
          <t>Övriga Aktiebolag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62456-2020</t>
        </is>
      </c>
      <c r="B17" s="1" t="n">
        <v>44160</v>
      </c>
      <c r="C17" s="1" t="n">
        <v>45832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62608-2020</t>
        </is>
      </c>
      <c r="B18" s="1" t="n">
        <v>44161</v>
      </c>
      <c r="C18" s="1" t="n">
        <v>45832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5072-2021</t>
        </is>
      </c>
      <c r="B19" s="1" t="n">
        <v>44228</v>
      </c>
      <c r="C19" s="1" t="n">
        <v>45832</v>
      </c>
      <c r="D19" t="inlineStr">
        <is>
          <t>VÄRMLANDS LÄN</t>
        </is>
      </c>
      <c r="E19" t="inlineStr">
        <is>
          <t>HAMMARÖ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HYPERLINK("https://klasma.github.io/Logging_1761/knärot/A 5072-2021 karta knärot.png", "A 5072-2021")</f>
        <v/>
      </c>
      <c r="V19">
        <f>HYPERLINK("https://klasma.github.io/Logging_1761/klagomål/A 5072-2021 FSC-klagomål.docx", "A 5072-2021")</f>
        <v/>
      </c>
      <c r="W19">
        <f>HYPERLINK("https://klasma.github.io/Logging_1761/klagomålsmail/A 5072-2021 FSC-klagomål mail.docx", "A 5072-2021")</f>
        <v/>
      </c>
      <c r="X19">
        <f>HYPERLINK("https://klasma.github.io/Logging_1761/tillsyn/A 5072-2021 tillsynsbegäran.docx", "A 5072-2021")</f>
        <v/>
      </c>
      <c r="Y19">
        <f>HYPERLINK("https://klasma.github.io/Logging_1761/tillsynsmail/A 5072-2021 tillsynsbegäran mail.docx", "A 5072-2021")</f>
        <v/>
      </c>
    </row>
    <row r="20" ht="15" customHeight="1">
      <c r="A20" t="inlineStr">
        <is>
          <t>A 16890-2021</t>
        </is>
      </c>
      <c r="B20" s="1" t="n">
        <v>44295</v>
      </c>
      <c r="C20" s="1" t="n">
        <v>45832</v>
      </c>
      <c r="D20" t="inlineStr">
        <is>
          <t>VÄRMLANDS LÄN</t>
        </is>
      </c>
      <c r="E20" t="inlineStr">
        <is>
          <t>HAMMARÖ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43631-2021</t>
        </is>
      </c>
      <c r="B21" s="1" t="n">
        <v>44433</v>
      </c>
      <c r="C21" s="1" t="n">
        <v>45832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56835-2021</t>
        </is>
      </c>
      <c r="B22" s="1" t="n">
        <v>44481</v>
      </c>
      <c r="C22" s="1" t="n">
        <v>45832</v>
      </c>
      <c r="D22" t="inlineStr">
        <is>
          <t>VÄRMLANDS LÄN</t>
        </is>
      </c>
      <c r="E22" t="inlineStr">
        <is>
          <t>HAMMARÖ</t>
        </is>
      </c>
      <c r="F22" t="inlineStr">
        <is>
          <t>Kommuner</t>
        </is>
      </c>
      <c r="G22" t="n">
        <v>18.8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13354-2022</t>
        </is>
      </c>
      <c r="B23" s="1" t="n">
        <v>44645</v>
      </c>
      <c r="C23" s="1" t="n">
        <v>45832</v>
      </c>
      <c r="D23" t="inlineStr">
        <is>
          <t>VÄRMLANDS LÄN</t>
        </is>
      </c>
      <c r="E23" t="inlineStr">
        <is>
          <t>HAMMARÖ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13356-2022</t>
        </is>
      </c>
      <c r="B24" s="1" t="n">
        <v>44645</v>
      </c>
      <c r="C24" s="1" t="n">
        <v>45832</v>
      </c>
      <c r="D24" t="inlineStr">
        <is>
          <t>VÄRMLANDS LÄN</t>
        </is>
      </c>
      <c r="E24" t="inlineStr">
        <is>
          <t>HAMMARÖ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56799-2022</t>
        </is>
      </c>
      <c r="B25" s="1" t="n">
        <v>44894</v>
      </c>
      <c r="C25" s="1" t="n">
        <v>45832</v>
      </c>
      <c r="D25" t="inlineStr">
        <is>
          <t>VÄRMLANDS LÄN</t>
        </is>
      </c>
      <c r="E25" t="inlineStr">
        <is>
          <t>HAMMARÖ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2769-2023</t>
        </is>
      </c>
      <c r="B26" s="1" t="n">
        <v>44944</v>
      </c>
      <c r="C26" s="1" t="n">
        <v>45832</v>
      </c>
      <c r="D26" t="inlineStr">
        <is>
          <t>VÄRMLANDS LÄN</t>
        </is>
      </c>
      <c r="E26" t="inlineStr">
        <is>
          <t>HAMMARÖ</t>
        </is>
      </c>
      <c r="G26" t="n">
        <v>8.699999999999999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41897-2023</t>
        </is>
      </c>
      <c r="B27" s="1" t="n">
        <v>45176</v>
      </c>
      <c r="C27" s="1" t="n">
        <v>45832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41892-2023</t>
        </is>
      </c>
      <c r="B28" s="1" t="n">
        <v>45176</v>
      </c>
      <c r="C28" s="1" t="n">
        <v>45832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41891-2023</t>
        </is>
      </c>
      <c r="B29" s="1" t="n">
        <v>45176</v>
      </c>
      <c r="C29" s="1" t="n">
        <v>45832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41895-2023</t>
        </is>
      </c>
      <c r="B30" s="1" t="n">
        <v>45176</v>
      </c>
      <c r="C30" s="1" t="n">
        <v>45832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41899-2023</t>
        </is>
      </c>
      <c r="B31" s="1" t="n">
        <v>45176</v>
      </c>
      <c r="C31" s="1" t="n">
        <v>45832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42344-2023</t>
        </is>
      </c>
      <c r="B32" s="1" t="n">
        <v>45180</v>
      </c>
      <c r="C32" s="1" t="n">
        <v>45832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42957-2023</t>
        </is>
      </c>
      <c r="B33" s="1" t="n">
        <v>45182</v>
      </c>
      <c r="C33" s="1" t="n">
        <v>45832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42951-2023</t>
        </is>
      </c>
      <c r="B34" s="1" t="n">
        <v>45182</v>
      </c>
      <c r="C34" s="1" t="n">
        <v>45832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42955-2023</t>
        </is>
      </c>
      <c r="B35" s="1" t="n">
        <v>45182</v>
      </c>
      <c r="C35" s="1" t="n">
        <v>45832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42960-2023</t>
        </is>
      </c>
      <c r="B36" s="1" t="n">
        <v>45182</v>
      </c>
      <c r="C36" s="1" t="n">
        <v>45832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47008-2023</t>
        </is>
      </c>
      <c r="B37" s="1" t="n">
        <v>45201</v>
      </c>
      <c r="C37" s="1" t="n">
        <v>45832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46982-2023</t>
        </is>
      </c>
      <c r="B38" s="1" t="n">
        <v>45201</v>
      </c>
      <c r="C38" s="1" t="n">
        <v>45832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51008-2023</t>
        </is>
      </c>
      <c r="B39" s="1" t="n">
        <v>45218</v>
      </c>
      <c r="C39" s="1" t="n">
        <v>45832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53288-2023</t>
        </is>
      </c>
      <c r="B40" s="1" t="n">
        <v>45229</v>
      </c>
      <c r="C40" s="1" t="n">
        <v>45832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45832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45832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45832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57893-2023</t>
        </is>
      </c>
      <c r="B44" s="1" t="n">
        <v>45247</v>
      </c>
      <c r="C44" s="1" t="n">
        <v>45832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37934-2024</t>
        </is>
      </c>
      <c r="B45" s="1" t="n">
        <v>45544</v>
      </c>
      <c r="C45" s="1" t="n">
        <v>45832</v>
      </c>
      <c r="D45" t="inlineStr">
        <is>
          <t>VÄRMLANDS LÄN</t>
        </is>
      </c>
      <c r="E45" t="inlineStr">
        <is>
          <t>HAMMARÖ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53369-2024</t>
        </is>
      </c>
      <c r="B46" s="1" t="n">
        <v>45614</v>
      </c>
      <c r="C46" s="1" t="n">
        <v>45832</v>
      </c>
      <c r="D46" t="inlineStr">
        <is>
          <t>VÄRMLANDS LÄN</t>
        </is>
      </c>
      <c r="E46" t="inlineStr">
        <is>
          <t>HAMMARÖ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58383-2024</t>
        </is>
      </c>
      <c r="B47" s="1" t="n">
        <v>45632</v>
      </c>
      <c r="C47" s="1" t="n">
        <v>45832</v>
      </c>
      <c r="D47" t="inlineStr">
        <is>
          <t>VÄRMLANDS LÄN</t>
        </is>
      </c>
      <c r="E47" t="inlineStr">
        <is>
          <t>HAMMARÖ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58382-2024</t>
        </is>
      </c>
      <c r="B48" s="1" t="n">
        <v>45632</v>
      </c>
      <c r="C48" s="1" t="n">
        <v>45832</v>
      </c>
      <c r="D48" t="inlineStr">
        <is>
          <t>VÄRMLANDS LÄN</t>
        </is>
      </c>
      <c r="E48" t="inlineStr">
        <is>
          <t>HAMMARÖ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793-2025</t>
        </is>
      </c>
      <c r="B49" s="1" t="n">
        <v>45665</v>
      </c>
      <c r="C49" s="1" t="n">
        <v>45832</v>
      </c>
      <c r="D49" t="inlineStr">
        <is>
          <t>VÄRMLANDS LÄN</t>
        </is>
      </c>
      <c r="E49" t="inlineStr">
        <is>
          <t>HAMMARÖ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3661-2025</t>
        </is>
      </c>
      <c r="B50" s="1" t="n">
        <v>45681</v>
      </c>
      <c r="C50" s="1" t="n">
        <v>45832</v>
      </c>
      <c r="D50" t="inlineStr">
        <is>
          <t>VÄRMLANDS LÄN</t>
        </is>
      </c>
      <c r="E50" t="inlineStr">
        <is>
          <t>HAMMARÖ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10793-2025</t>
        </is>
      </c>
      <c r="B51" s="1" t="n">
        <v>45722</v>
      </c>
      <c r="C51" s="1" t="n">
        <v>45832</v>
      </c>
      <c r="D51" t="inlineStr">
        <is>
          <t>VÄRMLANDS LÄN</t>
        </is>
      </c>
      <c r="E51" t="inlineStr">
        <is>
          <t>HAMMARÖ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2025-06-24T19:56:48Z</dcterms:created>
  <dcterms:modified xmlns:dcterms="http://purl.org/dc/terms/" xmlns:xsi="http://www.w3.org/2001/XMLSchema-instance" xsi:type="dcterms:W3CDTF">2025-06-24T19:56:48Z</dcterms:modified>
</cp:coreProperties>
</file>