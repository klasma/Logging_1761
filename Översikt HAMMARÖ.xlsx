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46101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47571-2025</t>
        </is>
      </c>
      <c r="B3" s="1" t="n">
        <v>45931</v>
      </c>
      <c r="C3" s="1" t="n">
        <v>46101</v>
      </c>
      <c r="D3" t="inlineStr">
        <is>
          <t>VÄRMLANDS LÄN</t>
        </is>
      </c>
      <c r="E3" t="inlineStr">
        <is>
          <t>HAMMARÖ</t>
        </is>
      </c>
      <c r="G3" t="n">
        <v>8.300000000000001</v>
      </c>
      <c r="H3" t="n">
        <v>4</v>
      </c>
      <c r="I3" t="n">
        <v>0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5</v>
      </c>
      <c r="R3" s="2" t="inlineStr">
        <is>
          <t>Knärot
Långskägg
Motaggsvamp
Kungsfågel
Tjäder</t>
        </is>
      </c>
      <c r="S3">
        <f>HYPERLINK("https://klasma.github.io/Logging_1761/artfynd/A 47571-2025 artfynd.xlsx", "A 47571-2025")</f>
        <v/>
      </c>
      <c r="T3">
        <f>HYPERLINK("https://klasma.github.io/Logging_1761/kartor/A 47571-2025 karta.png", "A 47571-2025")</f>
        <v/>
      </c>
      <c r="U3">
        <f>HYPERLINK("https://klasma.github.io/Logging_1761/knärot/A 47571-2025 karta knärot.png", "A 47571-2025")</f>
        <v/>
      </c>
      <c r="V3">
        <f>HYPERLINK("https://klasma.github.io/Logging_1761/klagomål/A 47571-2025 FSC-klagomål.docx", "A 47571-2025")</f>
        <v/>
      </c>
      <c r="W3">
        <f>HYPERLINK("https://klasma.github.io/Logging_1761/klagomålsmail/A 47571-2025 FSC-klagomål mail.docx", "A 47571-2025")</f>
        <v/>
      </c>
      <c r="X3">
        <f>HYPERLINK("https://klasma.github.io/Logging_1761/tillsyn/A 47571-2025 tillsynsbegäran.docx", "A 47571-2025")</f>
        <v/>
      </c>
      <c r="Y3">
        <f>HYPERLINK("https://klasma.github.io/Logging_1761/tillsynsmail/A 47571-2025 tillsynsbegäran mail.docx", "A 47571-2025")</f>
        <v/>
      </c>
      <c r="Z3">
        <f>HYPERLINK("https://klasma.github.io/Logging_1761/fåglar/A 47571-2025 prioriterade fågelarter.docx", "A 47571-2025")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46101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Blå taggsvamp
Gropticka
Motaggsvamp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24616-2022</t>
        </is>
      </c>
      <c r="B5" s="1" t="n">
        <v>44727</v>
      </c>
      <c r="C5" s="1" t="n">
        <v>46101</v>
      </c>
      <c r="D5" t="inlineStr">
        <is>
          <t>VÄRMLANDS LÄN</t>
        </is>
      </c>
      <c r="E5" t="inlineStr">
        <is>
          <t>HAMMARÖ</t>
        </is>
      </c>
      <c r="F5" t="inlineStr">
        <is>
          <t>Kommuner</t>
        </is>
      </c>
      <c r="G5" t="n">
        <v>4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Knärot
Spillkråka
Tretåig hackspett</t>
        </is>
      </c>
      <c r="S5">
        <f>HYPERLINK("https://klasma.github.io/Logging_1761/artfynd/A 24616-2022 artfynd.xlsx", "A 24616-2022")</f>
        <v/>
      </c>
      <c r="T5">
        <f>HYPERLINK("https://klasma.github.io/Logging_1761/kartor/A 24616-2022 karta.png", "A 24616-2022")</f>
        <v/>
      </c>
      <c r="U5">
        <f>HYPERLINK("https://klasma.github.io/Logging_1761/knärot/A 24616-2022 karta knärot.png", "A 24616-2022")</f>
        <v/>
      </c>
      <c r="V5">
        <f>HYPERLINK("https://klasma.github.io/Logging_1761/klagomål/A 24616-2022 FSC-klagomål.docx", "A 24616-2022")</f>
        <v/>
      </c>
      <c r="W5">
        <f>HYPERLINK("https://klasma.github.io/Logging_1761/klagomålsmail/A 24616-2022 FSC-klagomål mail.docx", "A 24616-2022")</f>
        <v/>
      </c>
      <c r="X5">
        <f>HYPERLINK("https://klasma.github.io/Logging_1761/tillsyn/A 24616-2022 tillsynsbegäran.docx", "A 24616-2022")</f>
        <v/>
      </c>
      <c r="Y5">
        <f>HYPERLINK("https://klasma.github.io/Logging_1761/tillsynsmail/A 24616-2022 tillsynsbegäran mail.docx", "A 24616-2022")</f>
        <v/>
      </c>
      <c r="Z5">
        <f>HYPERLINK("https://klasma.github.io/Logging_1761/fåglar/A 24616-2022 prioriterade fågelarter.docx", "A 24616-2022")</f>
        <v/>
      </c>
    </row>
    <row r="6" ht="15" customHeight="1">
      <c r="A6" t="inlineStr">
        <is>
          <t>A 3573-2026</t>
        </is>
      </c>
      <c r="B6" s="1" t="n">
        <v>46042.69962962963</v>
      </c>
      <c r="C6" s="1" t="n">
        <v>46101</v>
      </c>
      <c r="D6" t="inlineStr">
        <is>
          <t>VÄRMLANDS LÄN</t>
        </is>
      </c>
      <c r="E6" t="inlineStr">
        <is>
          <t>HAMMARÖ</t>
        </is>
      </c>
      <c r="G6" t="n">
        <v>4.3</v>
      </c>
      <c r="H6" t="n">
        <v>3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Vanlig groda
Vanlig padda</t>
        </is>
      </c>
      <c r="S6">
        <f>HYPERLINK("https://klasma.github.io/Logging_1761/artfynd/A 3573-2026 artfynd.xlsx", "A 3573-2026")</f>
        <v/>
      </c>
      <c r="T6">
        <f>HYPERLINK("https://klasma.github.io/Logging_1761/kartor/A 3573-2026 karta.png", "A 3573-2026")</f>
        <v/>
      </c>
      <c r="U6">
        <f>HYPERLINK("https://klasma.github.io/Logging_1761/knärot/A 3573-2026 karta knärot.png", "A 3573-2026")</f>
        <v/>
      </c>
      <c r="V6">
        <f>HYPERLINK("https://klasma.github.io/Logging_1761/klagomål/A 3573-2026 FSC-klagomål.docx", "A 3573-2026")</f>
        <v/>
      </c>
      <c r="W6">
        <f>HYPERLINK("https://klasma.github.io/Logging_1761/klagomålsmail/A 3573-2026 FSC-klagomål mail.docx", "A 3573-2026")</f>
        <v/>
      </c>
      <c r="X6">
        <f>HYPERLINK("https://klasma.github.io/Logging_1761/tillsyn/A 3573-2026 tillsynsbegäran.docx", "A 3573-2026")</f>
        <v/>
      </c>
      <c r="Y6">
        <f>HYPERLINK("https://klasma.github.io/Logging_1761/tillsynsmail/A 3573-2026 tillsynsbegäran mail.docx", "A 3573-2026")</f>
        <v/>
      </c>
    </row>
    <row r="7" ht="15" customHeight="1">
      <c r="A7" t="inlineStr">
        <is>
          <t>A 45407-2025</t>
        </is>
      </c>
      <c r="B7" s="1" t="n">
        <v>45922</v>
      </c>
      <c r="C7" s="1" t="n">
        <v>46101</v>
      </c>
      <c r="D7" t="inlineStr">
        <is>
          <t>VÄRMLANDS LÄN</t>
        </is>
      </c>
      <c r="E7" t="inlineStr">
        <is>
          <t>HAMMARÖ</t>
        </is>
      </c>
      <c r="G7" t="n">
        <v>11.6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Havsörn
Vanlig padda</t>
        </is>
      </c>
      <c r="S7">
        <f>HYPERLINK("https://klasma.github.io/Logging_1761/artfynd/A 45407-2025 artfynd.xlsx", "A 45407-2025")</f>
        <v/>
      </c>
      <c r="T7">
        <f>HYPERLINK("https://klasma.github.io/Logging_1761/kartor/A 45407-2025 karta.png", "A 45407-2025")</f>
        <v/>
      </c>
      <c r="V7">
        <f>HYPERLINK("https://klasma.github.io/Logging_1761/klagomål/A 45407-2025 FSC-klagomål.docx", "A 45407-2025")</f>
        <v/>
      </c>
      <c r="W7">
        <f>HYPERLINK("https://klasma.github.io/Logging_1761/klagomålsmail/A 45407-2025 FSC-klagomål mail.docx", "A 45407-2025")</f>
        <v/>
      </c>
      <c r="X7">
        <f>HYPERLINK("https://klasma.github.io/Logging_1761/tillsyn/A 45407-2025 tillsynsbegäran.docx", "A 45407-2025")</f>
        <v/>
      </c>
      <c r="Y7">
        <f>HYPERLINK("https://klasma.github.io/Logging_1761/tillsynsmail/A 45407-2025 tillsynsbegäran mail.docx", "A 45407-2025")</f>
        <v/>
      </c>
      <c r="Z7">
        <f>HYPERLINK("https://klasma.github.io/Logging_1761/fåglar/A 45407-2025 prioriterade fågelarter.docx", "A 45407-2025")</f>
        <v/>
      </c>
    </row>
    <row r="8" ht="15" customHeight="1">
      <c r="A8" t="inlineStr">
        <is>
          <t>A 53276-2023</t>
        </is>
      </c>
      <c r="B8" s="1" t="n">
        <v>45229</v>
      </c>
      <c r="C8" s="1" t="n">
        <v>46101</v>
      </c>
      <c r="D8" t="inlineStr">
        <is>
          <t>VÄRMLANDS LÄN</t>
        </is>
      </c>
      <c r="E8" t="inlineStr">
        <is>
          <t>HAMMARÖ</t>
        </is>
      </c>
      <c r="F8" t="inlineStr">
        <is>
          <t>Övriga Aktiebolag</t>
        </is>
      </c>
      <c r="G8" t="n">
        <v>0.3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Mindre flugsnappare
Vanlig groda</t>
        </is>
      </c>
      <c r="S8">
        <f>HYPERLINK("https://klasma.github.io/Logging_1761/artfynd/A 53276-2023 artfynd.xlsx", "A 53276-2023")</f>
        <v/>
      </c>
      <c r="T8">
        <f>HYPERLINK("https://klasma.github.io/Logging_1761/kartor/A 53276-2023 karta.png", "A 53276-2023")</f>
        <v/>
      </c>
      <c r="V8">
        <f>HYPERLINK("https://klasma.github.io/Logging_1761/klagomål/A 53276-2023 FSC-klagomål.docx", "A 53276-2023")</f>
        <v/>
      </c>
      <c r="W8">
        <f>HYPERLINK("https://klasma.github.io/Logging_1761/klagomålsmail/A 53276-2023 FSC-klagomål mail.docx", "A 53276-2023")</f>
        <v/>
      </c>
      <c r="X8">
        <f>HYPERLINK("https://klasma.github.io/Logging_1761/tillsyn/A 53276-2023 tillsynsbegäran.docx", "A 53276-2023")</f>
        <v/>
      </c>
      <c r="Y8">
        <f>HYPERLINK("https://klasma.github.io/Logging_1761/tillsynsmail/A 53276-2023 tillsynsbegäran mail.docx", "A 53276-2023")</f>
        <v/>
      </c>
      <c r="Z8">
        <f>HYPERLINK("https://klasma.github.io/Logging_1761/fåglar/A 53276-2023 prioriterade fågelarter.docx", "A 53276-2023")</f>
        <v/>
      </c>
    </row>
    <row r="9" ht="15" customHeight="1">
      <c r="A9" t="inlineStr">
        <is>
          <t>A 58382-2024</t>
        </is>
      </c>
      <c r="B9" s="1" t="n">
        <v>45632</v>
      </c>
      <c r="C9" s="1" t="n">
        <v>46101</v>
      </c>
      <c r="D9" t="inlineStr">
        <is>
          <t>VÄRMLANDS LÄN</t>
        </is>
      </c>
      <c r="E9" t="inlineStr">
        <is>
          <t>HAMMARÖ</t>
        </is>
      </c>
      <c r="G9" t="n">
        <v>1.6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HYPERLINK("https://klasma.github.io/Logging_1761/artfynd/A 58382-2024 artfynd.xlsx", "A 58382-2024")</f>
        <v/>
      </c>
      <c r="T9">
        <f>HYPERLINK("https://klasma.github.io/Logging_1761/kartor/A 58382-2024 karta.png", "A 58382-2024")</f>
        <v/>
      </c>
      <c r="U9">
        <f>HYPERLINK("https://klasma.github.io/Logging_1761/knärot/A 58382-2024 karta knärot.png", "A 58382-2024")</f>
        <v/>
      </c>
      <c r="V9">
        <f>HYPERLINK("https://klasma.github.io/Logging_1761/klagomål/A 58382-2024 FSC-klagomål.docx", "A 58382-2024")</f>
        <v/>
      </c>
      <c r="W9">
        <f>HYPERLINK("https://klasma.github.io/Logging_1761/klagomålsmail/A 58382-2024 FSC-klagomål mail.docx", "A 58382-2024")</f>
        <v/>
      </c>
      <c r="X9">
        <f>HYPERLINK("https://klasma.github.io/Logging_1761/tillsyn/A 58382-2024 tillsynsbegäran.docx", "A 58382-2024")</f>
        <v/>
      </c>
      <c r="Y9">
        <f>HYPERLINK("https://klasma.github.io/Logging_1761/tillsynsmail/A 58382-2024 tillsynsbegäran mail.docx", "A 58382-2024")</f>
        <v/>
      </c>
    </row>
    <row r="10" ht="15" customHeight="1">
      <c r="A10" t="inlineStr">
        <is>
          <t>A 55068-2023</t>
        </is>
      </c>
      <c r="B10" s="1" t="n">
        <v>45237</v>
      </c>
      <c r="C10" s="1" t="n">
        <v>46101</v>
      </c>
      <c r="D10" t="inlineStr">
        <is>
          <t>VÄRMLANDS LÄN</t>
        </is>
      </c>
      <c r="E10" t="inlineStr">
        <is>
          <t>HAMMARÖ</t>
        </is>
      </c>
      <c r="F10" t="inlineStr">
        <is>
          <t>Kommuner</t>
        </is>
      </c>
      <c r="G10" t="n">
        <v>2.4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Motaggsvamp</t>
        </is>
      </c>
      <c r="S10">
        <f>HYPERLINK("https://klasma.github.io/Logging_1761/artfynd/A 55068-2023 artfynd.xlsx", "A 55068-2023")</f>
        <v/>
      </c>
      <c r="T10">
        <f>HYPERLINK("https://klasma.github.io/Logging_1761/kartor/A 55068-2023 karta.png", "A 55068-2023")</f>
        <v/>
      </c>
      <c r="V10">
        <f>HYPERLINK("https://klasma.github.io/Logging_1761/klagomål/A 55068-2023 FSC-klagomål.docx", "A 55068-2023")</f>
        <v/>
      </c>
      <c r="W10">
        <f>HYPERLINK("https://klasma.github.io/Logging_1761/klagomålsmail/A 55068-2023 FSC-klagomål mail.docx", "A 55068-2023")</f>
        <v/>
      </c>
      <c r="X10">
        <f>HYPERLINK("https://klasma.github.io/Logging_1761/tillsyn/A 55068-2023 tillsynsbegäran.docx", "A 55068-2023")</f>
        <v/>
      </c>
      <c r="Y10">
        <f>HYPERLINK("https://klasma.github.io/Logging_1761/tillsynsmail/A 55068-2023 tillsynsbegäran mail.docx", "A 55068-2023")</f>
        <v/>
      </c>
    </row>
    <row r="11" ht="15" customHeight="1">
      <c r="A11" t="inlineStr">
        <is>
          <t>A 20755-2021</t>
        </is>
      </c>
      <c r="B11" s="1" t="n">
        <v>44316</v>
      </c>
      <c r="C11" s="1" t="n">
        <v>46101</v>
      </c>
      <c r="D11" t="inlineStr">
        <is>
          <t>VÄRMLANDS LÄN</t>
        </is>
      </c>
      <c r="E11" t="inlineStr">
        <is>
          <t>HAMMARÖ</t>
        </is>
      </c>
      <c r="G11" t="n">
        <v>16.8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Gulsparv</t>
        </is>
      </c>
      <c r="S11">
        <f>HYPERLINK("https://klasma.github.io/Logging_1761/artfynd/A 20755-2021 artfynd.xlsx", "A 20755-2021")</f>
        <v/>
      </c>
      <c r="T11">
        <f>HYPERLINK("https://klasma.github.io/Logging_1761/kartor/A 20755-2021 karta.png", "A 20755-2021")</f>
        <v/>
      </c>
      <c r="V11">
        <f>HYPERLINK("https://klasma.github.io/Logging_1761/klagomål/A 20755-2021 FSC-klagomål.docx", "A 20755-2021")</f>
        <v/>
      </c>
      <c r="W11">
        <f>HYPERLINK("https://klasma.github.io/Logging_1761/klagomålsmail/A 20755-2021 FSC-klagomål mail.docx", "A 20755-2021")</f>
        <v/>
      </c>
      <c r="X11">
        <f>HYPERLINK("https://klasma.github.io/Logging_1761/tillsyn/A 20755-2021 tillsynsbegäran.docx", "A 20755-2021")</f>
        <v/>
      </c>
      <c r="Y11">
        <f>HYPERLINK("https://klasma.github.io/Logging_1761/tillsynsmail/A 20755-2021 tillsynsbegäran mail.docx", "A 20755-2021")</f>
        <v/>
      </c>
      <c r="Z11">
        <f>HYPERLINK("https://klasma.github.io/Logging_1761/fåglar/A 20755-2021 prioriterade fågelarter.docx", "A 20755-2021")</f>
        <v/>
      </c>
    </row>
    <row r="12" ht="15" customHeight="1">
      <c r="A12" t="inlineStr">
        <is>
          <t>A 24618-2022</t>
        </is>
      </c>
      <c r="B12" s="1" t="n">
        <v>44727</v>
      </c>
      <c r="C12" s="1" t="n">
        <v>46101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4.6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HYPERLINK("https://klasma.github.io/Logging_1761/artfynd/A 24618-2022 artfynd.xlsx", "A 24618-2022")</f>
        <v/>
      </c>
      <c r="T12">
        <f>HYPERLINK("https://klasma.github.io/Logging_1761/kartor/A 24618-2022 karta.png", "A 24618-2022")</f>
        <v/>
      </c>
      <c r="U12">
        <f>HYPERLINK("https://klasma.github.io/Logging_1761/knärot/A 24618-2022 karta knärot.png", "A 24618-2022")</f>
        <v/>
      </c>
      <c r="V12">
        <f>HYPERLINK("https://klasma.github.io/Logging_1761/klagomål/A 24618-2022 FSC-klagomål.docx", "A 24618-2022")</f>
        <v/>
      </c>
      <c r="W12">
        <f>HYPERLINK("https://klasma.github.io/Logging_1761/klagomålsmail/A 24618-2022 FSC-klagomål mail.docx", "A 24618-2022")</f>
        <v/>
      </c>
      <c r="X12">
        <f>HYPERLINK("https://klasma.github.io/Logging_1761/tillsyn/A 24618-2022 tillsynsbegäran.docx", "A 24618-2022")</f>
        <v/>
      </c>
      <c r="Y12">
        <f>HYPERLINK("https://klasma.github.io/Logging_1761/tillsynsmail/A 24618-2022 tillsynsbegäran mail.docx", "A 24618-2022")</f>
        <v/>
      </c>
    </row>
    <row r="13" ht="15" customHeight="1">
      <c r="A13" t="inlineStr">
        <is>
          <t>A 16890-2021</t>
        </is>
      </c>
      <c r="B13" s="1" t="n">
        <v>44295</v>
      </c>
      <c r="C13" s="1" t="n">
        <v>46101</v>
      </c>
      <c r="D13" t="inlineStr">
        <is>
          <t>VÄRMLANDS LÄN</t>
        </is>
      </c>
      <c r="E13" t="inlineStr">
        <is>
          <t>HAMMARÖ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56835-2021</t>
        </is>
      </c>
      <c r="B14" s="1" t="n">
        <v>44481</v>
      </c>
      <c r="C14" s="1" t="n">
        <v>46101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18.8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51008-2023</t>
        </is>
      </c>
      <c r="B15" s="1" t="n">
        <v>45218</v>
      </c>
      <c r="C15" s="1" t="n">
        <v>46101</v>
      </c>
      <c r="D15" t="inlineStr">
        <is>
          <t>VÄRMLANDS LÄN</t>
        </is>
      </c>
      <c r="E15" t="inlineStr">
        <is>
          <t>HAMMARÖ</t>
        </is>
      </c>
      <c r="F15" t="inlineStr">
        <is>
          <t>Kommuner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57893-2023</t>
        </is>
      </c>
      <c r="B16" s="1" t="n">
        <v>45247</v>
      </c>
      <c r="C16" s="1" t="n">
        <v>46101</v>
      </c>
      <c r="D16" t="inlineStr">
        <is>
          <t>VÄRMLANDS LÄN</t>
        </is>
      </c>
      <c r="E16" t="inlineStr">
        <is>
          <t>HAMMARÖ</t>
        </is>
      </c>
      <c r="F16" t="inlineStr">
        <is>
          <t>Kommuner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37934-2024</t>
        </is>
      </c>
      <c r="B17" s="1" t="n">
        <v>45544</v>
      </c>
      <c r="C17" s="1" t="n">
        <v>46101</v>
      </c>
      <c r="D17" t="inlineStr">
        <is>
          <t>VÄRMLANDS LÄN</t>
        </is>
      </c>
      <c r="E17" t="inlineStr">
        <is>
          <t>HAMMARÖ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56799-2022</t>
        </is>
      </c>
      <c r="B18" s="1" t="n">
        <v>44894.425625</v>
      </c>
      <c r="C18" s="1" t="n">
        <v>46101</v>
      </c>
      <c r="D18" t="inlineStr">
        <is>
          <t>VÄRMLANDS LÄN</t>
        </is>
      </c>
      <c r="E18" t="inlineStr">
        <is>
          <t>HAMMARÖ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45423-2025</t>
        </is>
      </c>
      <c r="B19" s="1" t="n">
        <v>45922.45137731481</v>
      </c>
      <c r="C19" s="1" t="n">
        <v>46101</v>
      </c>
      <c r="D19" t="inlineStr">
        <is>
          <t>VÄRMLANDS LÄN</t>
        </is>
      </c>
      <c r="E19" t="inlineStr">
        <is>
          <t>HAMMARÖ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41895-2023</t>
        </is>
      </c>
      <c r="B20" s="1" t="n">
        <v>45176</v>
      </c>
      <c r="C20" s="1" t="n">
        <v>46101</v>
      </c>
      <c r="D20" t="inlineStr">
        <is>
          <t>VÄRMLANDS LÄN</t>
        </is>
      </c>
      <c r="E20" t="inlineStr">
        <is>
          <t>HAMMARÖ</t>
        </is>
      </c>
      <c r="F20" t="inlineStr">
        <is>
          <t>Övriga Aktiebolag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41899-2023</t>
        </is>
      </c>
      <c r="B21" s="1" t="n">
        <v>45176</v>
      </c>
      <c r="C21" s="1" t="n">
        <v>46101</v>
      </c>
      <c r="D21" t="inlineStr">
        <is>
          <t>VÄRMLANDS LÄN</t>
        </is>
      </c>
      <c r="E21" t="inlineStr">
        <is>
          <t>HAMMARÖ</t>
        </is>
      </c>
      <c r="F21" t="inlineStr">
        <is>
          <t>Övriga Aktiebolag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41661-2025</t>
        </is>
      </c>
      <c r="B22" s="1" t="n">
        <v>45902</v>
      </c>
      <c r="C22" s="1" t="n">
        <v>46101</v>
      </c>
      <c r="D22" t="inlineStr">
        <is>
          <t>VÄRMLANDS LÄN</t>
        </is>
      </c>
      <c r="E22" t="inlineStr">
        <is>
          <t>HAMMARÖ</t>
        </is>
      </c>
      <c r="G22" t="n">
        <v>5.8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55069-2023</t>
        </is>
      </c>
      <c r="B23" s="1" t="n">
        <v>45237</v>
      </c>
      <c r="C23" s="1" t="n">
        <v>46101</v>
      </c>
      <c r="D23" t="inlineStr">
        <is>
          <t>VÄRMLANDS LÄN</t>
        </is>
      </c>
      <c r="E23" t="inlineStr">
        <is>
          <t>HAMMARÖ</t>
        </is>
      </c>
      <c r="F23" t="inlineStr">
        <is>
          <t>Kommuner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58383-2024</t>
        </is>
      </c>
      <c r="B24" s="1" t="n">
        <v>45632</v>
      </c>
      <c r="C24" s="1" t="n">
        <v>46101</v>
      </c>
      <c r="D24" t="inlineStr">
        <is>
          <t>VÄRMLANDS LÄN</t>
        </is>
      </c>
      <c r="E24" t="inlineStr">
        <is>
          <t>HAMMARÖ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53369-2024</t>
        </is>
      </c>
      <c r="B25" s="1" t="n">
        <v>45614</v>
      </c>
      <c r="C25" s="1" t="n">
        <v>46101</v>
      </c>
      <c r="D25" t="inlineStr">
        <is>
          <t>VÄRMLANDS LÄN</t>
        </is>
      </c>
      <c r="E25" t="inlineStr">
        <is>
          <t>HAMMARÖ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13356-2022</t>
        </is>
      </c>
      <c r="B26" s="1" t="n">
        <v>44645</v>
      </c>
      <c r="C26" s="1" t="n">
        <v>46101</v>
      </c>
      <c r="D26" t="inlineStr">
        <is>
          <t>VÄRMLANDS LÄN</t>
        </is>
      </c>
      <c r="E26" t="inlineStr">
        <is>
          <t>HAMMARÖ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42951-2023</t>
        </is>
      </c>
      <c r="B27" s="1" t="n">
        <v>45182</v>
      </c>
      <c r="C27" s="1" t="n">
        <v>46101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42955-2023</t>
        </is>
      </c>
      <c r="B28" s="1" t="n">
        <v>45182</v>
      </c>
      <c r="C28" s="1" t="n">
        <v>46101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42960-2023</t>
        </is>
      </c>
      <c r="B29" s="1" t="n">
        <v>45182</v>
      </c>
      <c r="C29" s="1" t="n">
        <v>46101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13354-2022</t>
        </is>
      </c>
      <c r="B30" s="1" t="n">
        <v>44645</v>
      </c>
      <c r="C30" s="1" t="n">
        <v>46101</v>
      </c>
      <c r="D30" t="inlineStr">
        <is>
          <t>VÄRMLANDS LÄN</t>
        </is>
      </c>
      <c r="E30" t="inlineStr">
        <is>
          <t>HAMMARÖ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55066-2023</t>
        </is>
      </c>
      <c r="B31" s="1" t="n">
        <v>45237</v>
      </c>
      <c r="C31" s="1" t="n">
        <v>46101</v>
      </c>
      <c r="D31" t="inlineStr">
        <is>
          <t>VÄRMLANDS LÄN</t>
        </is>
      </c>
      <c r="E31" t="inlineStr">
        <is>
          <t>HAMMARÖ</t>
        </is>
      </c>
      <c r="F31" t="inlineStr">
        <is>
          <t>Kommuner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2769-2023</t>
        </is>
      </c>
      <c r="B32" s="1" t="n">
        <v>44944</v>
      </c>
      <c r="C32" s="1" t="n">
        <v>46101</v>
      </c>
      <c r="D32" t="inlineStr">
        <is>
          <t>VÄRMLANDS LÄN</t>
        </is>
      </c>
      <c r="E32" t="inlineStr">
        <is>
          <t>HAMMARÖ</t>
        </is>
      </c>
      <c r="G32" t="n">
        <v>8.699999999999999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>
      <c r="A33" t="inlineStr">
        <is>
          <t>A 42957-2023</t>
        </is>
      </c>
      <c r="B33" s="1" t="n">
        <v>45182</v>
      </c>
      <c r="C33" s="1" t="n">
        <v>46101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2026-03-20T11:30:47Z</dcterms:created>
  <dcterms:modified xmlns:dcterms="http://purl.org/dc/terms/" xmlns:xsi="http://www.w3.org/2001/XMLSchema-instance" xsi:type="dcterms:W3CDTF">2026-03-20T11:30:47Z</dcterms:modified>
</cp:coreProperties>
</file>