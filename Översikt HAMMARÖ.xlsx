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45718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45718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45718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45718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45718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45718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45718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45718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45718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45718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7593-2025</t>
        </is>
      </c>
      <c r="B12" s="1" t="n">
        <v>45705</v>
      </c>
      <c r="C12" s="1" t="n">
        <v>45718</v>
      </c>
      <c r="D12" t="inlineStr">
        <is>
          <t>VÄRMLANDS LÄN</t>
        </is>
      </c>
      <c r="E12" t="inlineStr">
        <is>
          <t>HAMMARÖ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Trollpipistrell</t>
        </is>
      </c>
      <c r="S12">
        <f>HYPERLINK("https://klasma.github.io/Logging_1761/artfynd/A 7593-2025 artfynd.xlsx", "A 7593-2025")</f>
        <v/>
      </c>
      <c r="T12">
        <f>HYPERLINK("https://klasma.github.io/Logging_1761/kartor/A 7593-2025 karta.png", "A 7593-2025")</f>
        <v/>
      </c>
      <c r="V12">
        <f>HYPERLINK("https://klasma.github.io/Logging_1761/klagomål/A 7593-2025 FSC-klagomål.docx", "A 7593-2025")</f>
        <v/>
      </c>
      <c r="W12">
        <f>HYPERLINK("https://klasma.github.io/Logging_1761/klagomålsmail/A 7593-2025 FSC-klagomål mail.docx", "A 7593-2025")</f>
        <v/>
      </c>
      <c r="X12">
        <f>HYPERLINK("https://klasma.github.io/Logging_1761/tillsyn/A 7593-2025 tillsynsbegäran.docx", "A 7593-2025")</f>
        <v/>
      </c>
      <c r="Y12">
        <f>HYPERLINK("https://klasma.github.io/Logging_1761/tillsynsmail/A 7593-2025 tillsynsbegäran mail.docx", "A 7593-2025")</f>
        <v/>
      </c>
    </row>
    <row r="13" ht="15" customHeight="1">
      <c r="A13" t="inlineStr">
        <is>
          <t>A 23183-2020</t>
        </is>
      </c>
      <c r="B13" s="1" t="n">
        <v>43966</v>
      </c>
      <c r="C13" s="1" t="n">
        <v>45718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62456-2020</t>
        </is>
      </c>
      <c r="B14" s="1" t="n">
        <v>44160</v>
      </c>
      <c r="C14" s="1" t="n">
        <v>45718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62608-2020</t>
        </is>
      </c>
      <c r="B15" s="1" t="n">
        <v>44161</v>
      </c>
      <c r="C15" s="1" t="n">
        <v>45718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45718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16890-2021</t>
        </is>
      </c>
      <c r="B17" s="1" t="n">
        <v>44295</v>
      </c>
      <c r="C17" s="1" t="n">
        <v>45718</v>
      </c>
      <c r="D17" t="inlineStr">
        <is>
          <t>VÄRMLANDS LÄN</t>
        </is>
      </c>
      <c r="E17" t="inlineStr">
        <is>
          <t>HAMMARÖ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20755-2021</t>
        </is>
      </c>
      <c r="B18" s="1" t="n">
        <v>44316</v>
      </c>
      <c r="C18" s="1" t="n">
        <v>45718</v>
      </c>
      <c r="D18" t="inlineStr">
        <is>
          <t>VÄRMLANDS LÄN</t>
        </is>
      </c>
      <c r="E18" t="inlineStr">
        <is>
          <t>HAMMARÖ</t>
        </is>
      </c>
      <c r="G18" t="n">
        <v>16.8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43631-2021</t>
        </is>
      </c>
      <c r="B19" s="1" t="n">
        <v>44433</v>
      </c>
      <c r="C19" s="1" t="n">
        <v>45718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56835-2021</t>
        </is>
      </c>
      <c r="B20" s="1" t="n">
        <v>44481</v>
      </c>
      <c r="C20" s="1" t="n">
        <v>45718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18.8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13354-2022</t>
        </is>
      </c>
      <c r="B21" s="1" t="n">
        <v>44645</v>
      </c>
      <c r="C21" s="1" t="n">
        <v>45718</v>
      </c>
      <c r="D21" t="inlineStr">
        <is>
          <t>VÄRMLANDS LÄN</t>
        </is>
      </c>
      <c r="E21" t="inlineStr">
        <is>
          <t>HAMMARÖ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13356-2022</t>
        </is>
      </c>
      <c r="B22" s="1" t="n">
        <v>44645</v>
      </c>
      <c r="C22" s="1" t="n">
        <v>45718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56799-2022</t>
        </is>
      </c>
      <c r="B23" s="1" t="n">
        <v>44894</v>
      </c>
      <c r="C23" s="1" t="n">
        <v>45718</v>
      </c>
      <c r="D23" t="inlineStr">
        <is>
          <t>VÄRMLANDS LÄN</t>
        </is>
      </c>
      <c r="E23" t="inlineStr">
        <is>
          <t>HAMMARÖ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2769-2023</t>
        </is>
      </c>
      <c r="B24" s="1" t="n">
        <v>44944</v>
      </c>
      <c r="C24" s="1" t="n">
        <v>45718</v>
      </c>
      <c r="D24" t="inlineStr">
        <is>
          <t>VÄRMLANDS LÄN</t>
        </is>
      </c>
      <c r="E24" t="inlineStr">
        <is>
          <t>HAMMARÖ</t>
        </is>
      </c>
      <c r="G24" t="n">
        <v>8.699999999999999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41897-2023</t>
        </is>
      </c>
      <c r="B25" s="1" t="n">
        <v>45176</v>
      </c>
      <c r="C25" s="1" t="n">
        <v>45718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41892-2023</t>
        </is>
      </c>
      <c r="B26" s="1" t="n">
        <v>45176</v>
      </c>
      <c r="C26" s="1" t="n">
        <v>45718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41891-2023</t>
        </is>
      </c>
      <c r="B27" s="1" t="n">
        <v>45176</v>
      </c>
      <c r="C27" s="1" t="n">
        <v>45718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41895-2023</t>
        </is>
      </c>
      <c r="B28" s="1" t="n">
        <v>45176</v>
      </c>
      <c r="C28" s="1" t="n">
        <v>45718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41899-2023</t>
        </is>
      </c>
      <c r="B29" s="1" t="n">
        <v>45176</v>
      </c>
      <c r="C29" s="1" t="n">
        <v>45718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45718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45718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45718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45718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45718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45718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45718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45718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45718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45718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55066-2023</t>
        </is>
      </c>
      <c r="B40" s="1" t="n">
        <v>45237</v>
      </c>
      <c r="C40" s="1" t="n">
        <v>45718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55069-2023</t>
        </is>
      </c>
      <c r="B41" s="1" t="n">
        <v>45237</v>
      </c>
      <c r="C41" s="1" t="n">
        <v>45718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57896-2023</t>
        </is>
      </c>
      <c r="B42" s="1" t="n">
        <v>45247</v>
      </c>
      <c r="C42" s="1" t="n">
        <v>45718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57893-2023</t>
        </is>
      </c>
      <c r="B43" s="1" t="n">
        <v>45247</v>
      </c>
      <c r="C43" s="1" t="n">
        <v>45718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37934-2024</t>
        </is>
      </c>
      <c r="B44" s="1" t="n">
        <v>45544</v>
      </c>
      <c r="C44" s="1" t="n">
        <v>45718</v>
      </c>
      <c r="D44" t="inlineStr">
        <is>
          <t>VÄRMLANDS LÄN</t>
        </is>
      </c>
      <c r="E44" t="inlineStr">
        <is>
          <t>HAMMARÖ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53369-2024</t>
        </is>
      </c>
      <c r="B45" s="1" t="n">
        <v>45614</v>
      </c>
      <c r="C45" s="1" t="n">
        <v>45718</v>
      </c>
      <c r="D45" t="inlineStr">
        <is>
          <t>VÄRMLANDS LÄN</t>
        </is>
      </c>
      <c r="E45" t="inlineStr">
        <is>
          <t>HAMMARÖ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58383-2024</t>
        </is>
      </c>
      <c r="B46" s="1" t="n">
        <v>45632</v>
      </c>
      <c r="C46" s="1" t="n">
        <v>45718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58382-2024</t>
        </is>
      </c>
      <c r="B47" s="1" t="n">
        <v>45632</v>
      </c>
      <c r="C47" s="1" t="n">
        <v>45718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793-2025</t>
        </is>
      </c>
      <c r="B48" s="1" t="n">
        <v>45665</v>
      </c>
      <c r="C48" s="1" t="n">
        <v>45718</v>
      </c>
      <c r="D48" t="inlineStr">
        <is>
          <t>VÄRMLANDS LÄN</t>
        </is>
      </c>
      <c r="E48" t="inlineStr">
        <is>
          <t>HAMMARÖ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3661-2025</t>
        </is>
      </c>
      <c r="B49" s="1" t="n">
        <v>45681</v>
      </c>
      <c r="C49" s="1" t="n">
        <v>45718</v>
      </c>
      <c r="D49" t="inlineStr">
        <is>
          <t>VÄRMLANDS LÄN</t>
        </is>
      </c>
      <c r="E49" t="inlineStr">
        <is>
          <t>HAMMARÖ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2025-03-02T16:56:02Z</dcterms:created>
  <dcterms:modified xmlns:dcterms="http://purl.org/dc/terms/" xmlns:xsi="http://www.w3.org/2001/XMLSchema-instance" xsi:type="dcterms:W3CDTF">2025-03-02T16:56:02Z</dcterms:modified>
</cp:coreProperties>
</file>