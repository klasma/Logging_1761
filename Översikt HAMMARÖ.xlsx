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45809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45809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45809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45809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45809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45809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45809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45809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45809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42339-2023</t>
        </is>
      </c>
      <c r="B11" s="1" t="n">
        <v>45180</v>
      </c>
      <c r="C11" s="1" t="n">
        <v>45809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HYPERLINK("https://klasma.github.io/Logging_1761/artfynd/A 42339-2023 artfynd.xlsx", "A 42339-2023")</f>
        <v/>
      </c>
      <c r="T11">
        <f>HYPERLINK("https://klasma.github.io/Logging_1761/kartor/A 42339-2023 karta.png", "A 42339-2023")</f>
        <v/>
      </c>
      <c r="V11">
        <f>HYPERLINK("https://klasma.github.io/Logging_1761/klagomål/A 42339-2023 FSC-klagomål.docx", "A 42339-2023")</f>
        <v/>
      </c>
      <c r="W11">
        <f>HYPERLINK("https://klasma.github.io/Logging_1761/klagomålsmail/A 42339-2023 FSC-klagomål mail.docx", "A 42339-2023")</f>
        <v/>
      </c>
      <c r="X11">
        <f>HYPERLINK("https://klasma.github.io/Logging_1761/tillsyn/A 42339-2023 tillsynsbegäran.docx", "A 42339-2023")</f>
        <v/>
      </c>
      <c r="Y11">
        <f>HYPERLINK("https://klasma.github.io/Logging_1761/tillsynsmail/A 42339-2023 tillsynsbegäran mail.docx", "A 42339-2023")</f>
        <v/>
      </c>
      <c r="Z11">
        <f>HYPERLINK("https://klasma.github.io/Logging_1761/fåglar/A 42339-2023 prioriterade fågelarter.docx", "A 42339-2023")</f>
        <v/>
      </c>
    </row>
    <row r="12" ht="15" customHeight="1">
      <c r="A12" t="inlineStr">
        <is>
          <t>A 53276-2023</t>
        </is>
      </c>
      <c r="B12" s="1" t="n">
        <v>45229</v>
      </c>
      <c r="C12" s="1" t="n">
        <v>45809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flugsnappare</t>
        </is>
      </c>
      <c r="S12">
        <f>HYPERLINK("https://klasma.github.io/Logging_1761/artfynd/A 53276-2023 artfynd.xlsx", "A 53276-2023")</f>
        <v/>
      </c>
      <c r="T12">
        <f>HYPERLINK("https://klasma.github.io/Logging_1761/kartor/A 53276-2023 karta.png", "A 53276-2023")</f>
        <v/>
      </c>
      <c r="V12">
        <f>HYPERLINK("https://klasma.github.io/Logging_1761/klagomål/A 53276-2023 FSC-klagomål.docx", "A 53276-2023")</f>
        <v/>
      </c>
      <c r="W12">
        <f>HYPERLINK("https://klasma.github.io/Logging_1761/klagomålsmail/A 53276-2023 FSC-klagomål mail.docx", "A 53276-2023")</f>
        <v/>
      </c>
      <c r="X12">
        <f>HYPERLINK("https://klasma.github.io/Logging_1761/tillsyn/A 53276-2023 tillsynsbegäran.docx", "A 53276-2023")</f>
        <v/>
      </c>
      <c r="Y12">
        <f>HYPERLINK("https://klasma.github.io/Logging_1761/tillsynsmail/A 53276-2023 tillsynsbegäran mail.docx", "A 53276-2023")</f>
        <v/>
      </c>
      <c r="Z12">
        <f>HYPERLINK("https://klasma.github.io/Logging_1761/fåglar/A 53276-2023 prioriterade fågelarter.docx", "A 53276-2023")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45809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7593-2025</t>
        </is>
      </c>
      <c r="B14" s="1" t="n">
        <v>45705</v>
      </c>
      <c r="C14" s="1" t="n">
        <v>45809</v>
      </c>
      <c r="D14" t="inlineStr">
        <is>
          <t>VÄRMLANDS LÄN</t>
        </is>
      </c>
      <c r="E14" t="inlineStr">
        <is>
          <t>HAMMARÖ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Trollpipistrell</t>
        </is>
      </c>
      <c r="S14">
        <f>HYPERLINK("https://klasma.github.io/Logging_1761/artfynd/A 7593-2025 artfynd.xlsx", "A 7593-2025")</f>
        <v/>
      </c>
      <c r="T14">
        <f>HYPERLINK("https://klasma.github.io/Logging_1761/kartor/A 7593-2025 karta.png", "A 7593-2025")</f>
        <v/>
      </c>
      <c r="V14">
        <f>HYPERLINK("https://klasma.github.io/Logging_1761/klagomål/A 7593-2025 FSC-klagomål.docx", "A 7593-2025")</f>
        <v/>
      </c>
      <c r="W14">
        <f>HYPERLINK("https://klasma.github.io/Logging_1761/klagomålsmail/A 7593-2025 FSC-klagomål mail.docx", "A 7593-2025")</f>
        <v/>
      </c>
      <c r="X14">
        <f>HYPERLINK("https://klasma.github.io/Logging_1761/tillsyn/A 7593-2025 tillsynsbegäran.docx", "A 7593-2025")</f>
        <v/>
      </c>
      <c r="Y14">
        <f>HYPERLINK("https://klasma.github.io/Logging_1761/tillsynsmail/A 7593-2025 tillsynsbegäran mail.docx", "A 7593-2025")</f>
        <v/>
      </c>
    </row>
    <row r="15" ht="15" customHeight="1">
      <c r="A15" t="inlineStr">
        <is>
          <t>A 23183-2020</t>
        </is>
      </c>
      <c r="B15" s="1" t="n">
        <v>43966</v>
      </c>
      <c r="C15" s="1" t="n">
        <v>45809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62456-2020</t>
        </is>
      </c>
      <c r="B16" s="1" t="n">
        <v>44160</v>
      </c>
      <c r="C16" s="1" t="n">
        <v>45809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62608-2020</t>
        </is>
      </c>
      <c r="B17" s="1" t="n">
        <v>44161</v>
      </c>
      <c r="C17" s="1" t="n">
        <v>45809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5072-2021</t>
        </is>
      </c>
      <c r="B18" s="1" t="n">
        <v>44228</v>
      </c>
      <c r="C18" s="1" t="n">
        <v>45809</v>
      </c>
      <c r="D18" t="inlineStr">
        <is>
          <t>VÄRMLANDS LÄN</t>
        </is>
      </c>
      <c r="E18" t="inlineStr">
        <is>
          <t>HAMMARÖ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  <c r="U18">
        <f>HYPERLINK("https://klasma.github.io/Logging_1761/knärot/A 5072-2021 karta knärot.png", "A 5072-2021")</f>
        <v/>
      </c>
      <c r="V18">
        <f>HYPERLINK("https://klasma.github.io/Logging_1761/klagomål/A 5072-2021 FSC-klagomål.docx", "A 5072-2021")</f>
        <v/>
      </c>
      <c r="W18">
        <f>HYPERLINK("https://klasma.github.io/Logging_1761/klagomålsmail/A 5072-2021 FSC-klagomål mail.docx", "A 5072-2021")</f>
        <v/>
      </c>
      <c r="X18">
        <f>HYPERLINK("https://klasma.github.io/Logging_1761/tillsyn/A 5072-2021 tillsynsbegäran.docx", "A 5072-2021")</f>
        <v/>
      </c>
      <c r="Y18">
        <f>HYPERLINK("https://klasma.github.io/Logging_1761/tillsynsmail/A 5072-2021 tillsynsbegäran mail.docx", "A 5072-2021")</f>
        <v/>
      </c>
    </row>
    <row r="19" ht="15" customHeight="1">
      <c r="A19" t="inlineStr">
        <is>
          <t>A 16890-2021</t>
        </is>
      </c>
      <c r="B19" s="1" t="n">
        <v>44295</v>
      </c>
      <c r="C19" s="1" t="n">
        <v>45809</v>
      </c>
      <c r="D19" t="inlineStr">
        <is>
          <t>VÄRMLANDS LÄN</t>
        </is>
      </c>
      <c r="E19" t="inlineStr">
        <is>
          <t>HAMMARÖ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20755-2021</t>
        </is>
      </c>
      <c r="B20" s="1" t="n">
        <v>44316</v>
      </c>
      <c r="C20" s="1" t="n">
        <v>45809</v>
      </c>
      <c r="D20" t="inlineStr">
        <is>
          <t>VÄRMLANDS LÄN</t>
        </is>
      </c>
      <c r="E20" t="inlineStr">
        <is>
          <t>HAMMARÖ</t>
        </is>
      </c>
      <c r="G20" t="n">
        <v>16.8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45809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45809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45809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45809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45809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45809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45809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45809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45809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45809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45809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45809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45809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45809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45809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45809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45809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45809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45809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45809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45809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45809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45809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45809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45809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45809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45809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45809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45809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45809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45809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2025-06-01T11:50:25Z</dcterms:created>
  <dcterms:modified xmlns:dcterms="http://purl.org/dc/terms/" xmlns:xsi="http://www.w3.org/2001/XMLSchema-instance" xsi:type="dcterms:W3CDTF">2025-06-01T11:50:25Z</dcterms:modified>
</cp:coreProperties>
</file>