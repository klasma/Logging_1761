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46017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46017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46017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46017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46017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10795-2025</t>
        </is>
      </c>
      <c r="B7" s="1" t="n">
        <v>45722</v>
      </c>
      <c r="C7" s="1" t="n">
        <v>46017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Guldkremla</t>
        </is>
      </c>
      <c r="S7">
        <f>HYPERLINK("https://klasma.github.io/Logging_1761/artfynd/A 10795-2025 artfynd.xlsx", "A 10795-2025")</f>
        <v/>
      </c>
      <c r="T7">
        <f>HYPERLINK("https://klasma.github.io/Logging_1761/kartor/A 10795-2025 karta.png", "A 10795-2025")</f>
        <v/>
      </c>
      <c r="V7">
        <f>HYPERLINK("https://klasma.github.io/Logging_1761/klagomål/A 10795-2025 FSC-klagomål.docx", "A 10795-2025")</f>
        <v/>
      </c>
      <c r="W7">
        <f>HYPERLINK("https://klasma.github.io/Logging_1761/klagomålsmail/A 10795-2025 FSC-klagomål mail.docx", "A 10795-2025")</f>
        <v/>
      </c>
      <c r="X7">
        <f>HYPERLINK("https://klasma.github.io/Logging_1761/tillsyn/A 10795-2025 tillsynsbegäran.docx", "A 10795-2025")</f>
        <v/>
      </c>
      <c r="Y7">
        <f>HYPERLINK("https://klasma.github.io/Logging_1761/tillsynsmail/A 10795-2025 tillsynsbegäran mail.docx", "A 10795-2025")</f>
        <v/>
      </c>
    </row>
    <row r="8" ht="15" customHeight="1">
      <c r="A8" t="inlineStr">
        <is>
          <t>A 55068-2023</t>
        </is>
      </c>
      <c r="B8" s="1" t="n">
        <v>45237</v>
      </c>
      <c r="C8" s="1" t="n">
        <v>46017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HYPERLINK("https://klasma.github.io/Logging_1761/artfynd/A 55068-2023 artfynd.xlsx", "A 55068-2023")</f>
        <v/>
      </c>
      <c r="T8">
        <f>HYPERLINK("https://klasma.github.io/Logging_1761/kartor/A 55068-2023 karta.png", "A 55068-2023")</f>
        <v/>
      </c>
      <c r="V8">
        <f>HYPERLINK("https://klasma.github.io/Logging_1761/klagomål/A 55068-2023 FSC-klagomål.docx", "A 55068-2023")</f>
        <v/>
      </c>
      <c r="W8">
        <f>HYPERLINK("https://klasma.github.io/Logging_1761/klagomålsmail/A 55068-2023 FSC-klagomål mail.docx", "A 55068-2023")</f>
        <v/>
      </c>
      <c r="X8">
        <f>HYPERLINK("https://klasma.github.io/Logging_1761/tillsyn/A 55068-2023 tillsynsbegäran.docx", "A 55068-2023")</f>
        <v/>
      </c>
      <c r="Y8">
        <f>HYPERLINK("https://klasma.github.io/Logging_1761/tillsynsmail/A 55068-2023 tillsynsbegäran mail.docx", "A 55068-2023")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46017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20755-2021</t>
        </is>
      </c>
      <c r="B10" s="1" t="n">
        <v>44316</v>
      </c>
      <c r="C10" s="1" t="n">
        <v>46017</v>
      </c>
      <c r="D10" t="inlineStr">
        <is>
          <t>VÄRMLANDS LÄN</t>
        </is>
      </c>
      <c r="E10" t="inlineStr">
        <is>
          <t>HAMMARÖ</t>
        </is>
      </c>
      <c r="G10" t="n">
        <v>16.8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HYPERLINK("https://klasma.github.io/Logging_1761/artfynd/A 20755-2021 artfynd.xlsx", "A 20755-2021")</f>
        <v/>
      </c>
      <c r="T10">
        <f>HYPERLINK("https://klasma.github.io/Logging_1761/kartor/A 20755-2021 karta.png", "A 20755-2021")</f>
        <v/>
      </c>
      <c r="V10">
        <f>HYPERLINK("https://klasma.github.io/Logging_1761/klagomål/A 20755-2021 FSC-klagomål.docx", "A 20755-2021")</f>
        <v/>
      </c>
      <c r="W10">
        <f>HYPERLINK("https://klasma.github.io/Logging_1761/klagomålsmail/A 20755-2021 FSC-klagomål mail.docx", "A 20755-2021")</f>
        <v/>
      </c>
      <c r="X10">
        <f>HYPERLINK("https://klasma.github.io/Logging_1761/tillsyn/A 20755-2021 tillsynsbegäran.docx", "A 20755-2021")</f>
        <v/>
      </c>
      <c r="Y10">
        <f>HYPERLINK("https://klasma.github.io/Logging_1761/tillsynsmail/A 20755-2021 tillsynsbegäran mail.docx", "A 20755-2021")</f>
        <v/>
      </c>
      <c r="Z10">
        <f>HYPERLINK("https://klasma.github.io/Logging_1761/fåglar/A 20755-2021 prioriterade fågelarter.docx", "A 20755-2021")</f>
        <v/>
      </c>
    </row>
    <row r="11" ht="15" customHeight="1">
      <c r="A11" t="inlineStr">
        <is>
          <t>A 45407-2025</t>
        </is>
      </c>
      <c r="B11" s="1" t="n">
        <v>45922</v>
      </c>
      <c r="C11" s="1" t="n">
        <v>46017</v>
      </c>
      <c r="D11" t="inlineStr">
        <is>
          <t>VÄRMLANDS LÄN</t>
        </is>
      </c>
      <c r="E11" t="inlineStr">
        <is>
          <t>HAMMARÖ</t>
        </is>
      </c>
      <c r="G11" t="n">
        <v>11.6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HYPERLINK("https://klasma.github.io/Logging_1761/artfynd/A 45407-2025 artfynd.xlsx", "A 45407-2025")</f>
        <v/>
      </c>
      <c r="T11">
        <f>HYPERLINK("https://klasma.github.io/Logging_1761/kartor/A 45407-2025 karta.png", "A 45407-2025")</f>
        <v/>
      </c>
      <c r="V11">
        <f>HYPERLINK("https://klasma.github.io/Logging_1761/klagomål/A 45407-2025 FSC-klagomål.docx", "A 45407-2025")</f>
        <v/>
      </c>
      <c r="W11">
        <f>HYPERLINK("https://klasma.github.io/Logging_1761/klagomålsmail/A 45407-2025 FSC-klagomål mail.docx", "A 45407-2025")</f>
        <v/>
      </c>
      <c r="X11">
        <f>HYPERLINK("https://klasma.github.io/Logging_1761/tillsyn/A 45407-2025 tillsynsbegäran.docx", "A 45407-2025")</f>
        <v/>
      </c>
      <c r="Y11">
        <f>HYPERLINK("https://klasma.github.io/Logging_1761/tillsynsmail/A 45407-2025 tillsynsbegäran mail.docx", "A 45407-2025")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46017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46017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46017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46017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56835-2021</t>
        </is>
      </c>
      <c r="B16" s="1" t="n">
        <v>44481</v>
      </c>
      <c r="C16" s="1" t="n">
        <v>46017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51008-2023</t>
        </is>
      </c>
      <c r="B17" s="1" t="n">
        <v>45218</v>
      </c>
      <c r="C17" s="1" t="n">
        <v>46017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58383-2024</t>
        </is>
      </c>
      <c r="B18" s="1" t="n">
        <v>45632</v>
      </c>
      <c r="C18" s="1" t="n">
        <v>46017</v>
      </c>
      <c r="D18" t="inlineStr">
        <is>
          <t>VÄRMLANDS LÄN</t>
        </is>
      </c>
      <c r="E18" t="inlineStr">
        <is>
          <t>HAMMARÖ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57893-2023</t>
        </is>
      </c>
      <c r="B19" s="1" t="n">
        <v>45247</v>
      </c>
      <c r="C19" s="1" t="n">
        <v>46017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46017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37934-2024</t>
        </is>
      </c>
      <c r="B21" s="1" t="n">
        <v>45544</v>
      </c>
      <c r="C21" s="1" t="n">
        <v>46017</v>
      </c>
      <c r="D21" t="inlineStr">
        <is>
          <t>VÄRMLANDS LÄN</t>
        </is>
      </c>
      <c r="E21" t="inlineStr">
        <is>
          <t>HAMMARÖ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13356-2022</t>
        </is>
      </c>
      <c r="B22" s="1" t="n">
        <v>44645</v>
      </c>
      <c r="C22" s="1" t="n">
        <v>46017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42951-2023</t>
        </is>
      </c>
      <c r="B23" s="1" t="n">
        <v>45182</v>
      </c>
      <c r="C23" s="1" t="n">
        <v>46017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42955-2023</t>
        </is>
      </c>
      <c r="B24" s="1" t="n">
        <v>45182</v>
      </c>
      <c r="C24" s="1" t="n">
        <v>46017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42960-2023</t>
        </is>
      </c>
      <c r="B25" s="1" t="n">
        <v>45182</v>
      </c>
      <c r="C25" s="1" t="n">
        <v>46017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56799-2022</t>
        </is>
      </c>
      <c r="B26" s="1" t="n">
        <v>44894.425625</v>
      </c>
      <c r="C26" s="1" t="n">
        <v>46017</v>
      </c>
      <c r="D26" t="inlineStr">
        <is>
          <t>VÄRMLANDS LÄN</t>
        </is>
      </c>
      <c r="E26" t="inlineStr">
        <is>
          <t>HAMMARÖ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46017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46017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55069-2023</t>
        </is>
      </c>
      <c r="B29" s="1" t="n">
        <v>45237</v>
      </c>
      <c r="C29" s="1" t="n">
        <v>46017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45423-2025</t>
        </is>
      </c>
      <c r="B30" s="1" t="n">
        <v>45922.45137731481</v>
      </c>
      <c r="C30" s="1" t="n">
        <v>46017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41661-2025</t>
        </is>
      </c>
      <c r="B31" s="1" t="n">
        <v>45902</v>
      </c>
      <c r="C31" s="1" t="n">
        <v>46017</v>
      </c>
      <c r="D31" t="inlineStr">
        <is>
          <t>VÄRMLANDS LÄN</t>
        </is>
      </c>
      <c r="E31" t="inlineStr">
        <is>
          <t>HAMMARÖ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13354-2022</t>
        </is>
      </c>
      <c r="B32" s="1" t="n">
        <v>44645</v>
      </c>
      <c r="C32" s="1" t="n">
        <v>46017</v>
      </c>
      <c r="D32" t="inlineStr">
        <is>
          <t>VÄRMLANDS LÄN</t>
        </is>
      </c>
      <c r="E32" t="inlineStr">
        <is>
          <t>HAMMARÖ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55066-2023</t>
        </is>
      </c>
      <c r="B33" s="1" t="n">
        <v>45237</v>
      </c>
      <c r="C33" s="1" t="n">
        <v>46017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2769-2023</t>
        </is>
      </c>
      <c r="B34" s="1" t="n">
        <v>44944</v>
      </c>
      <c r="C34" s="1" t="n">
        <v>46017</v>
      </c>
      <c r="D34" t="inlineStr">
        <is>
          <t>VÄRMLANDS LÄN</t>
        </is>
      </c>
      <c r="E34" t="inlineStr">
        <is>
          <t>HAMMARÖ</t>
        </is>
      </c>
      <c r="G34" t="n">
        <v>8.699999999999999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42957-2023</t>
        </is>
      </c>
      <c r="B35" s="1" t="n">
        <v>45182</v>
      </c>
      <c r="C35" s="1" t="n">
        <v>46017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10793-2025</t>
        </is>
      </c>
      <c r="B36" s="1" t="n">
        <v>45722</v>
      </c>
      <c r="C36" s="1" t="n">
        <v>46017</v>
      </c>
      <c r="D36" t="inlineStr">
        <is>
          <t>VÄRMLANDS LÄN</t>
        </is>
      </c>
      <c r="E36" t="inlineStr">
        <is>
          <t>HAMMARÖ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2025-12-26T09:33:03Z</dcterms:created>
  <dcterms:modified xmlns:dcterms="http://purl.org/dc/terms/" xmlns:xsi="http://www.w3.org/2001/XMLSchema-instance" xsi:type="dcterms:W3CDTF">2025-12-26T09:33:03Z</dcterms:modified>
</cp:coreProperties>
</file>