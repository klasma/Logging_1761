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45939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45939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45939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53276-2023</t>
        </is>
      </c>
      <c r="B5" s="1" t="n">
        <v>45229</v>
      </c>
      <c r="C5" s="1" t="n">
        <v>45939</v>
      </c>
      <c r="D5" t="inlineStr">
        <is>
          <t>VÄRMLANDS LÄN</t>
        </is>
      </c>
      <c r="E5" t="inlineStr">
        <is>
          <t>HAMMARÖ</t>
        </is>
      </c>
      <c r="F5" t="inlineStr">
        <is>
          <t>Övriga Aktiebolag</t>
        </is>
      </c>
      <c r="G5" t="n">
        <v>0.3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Mindre flugsnappare
Vanlig groda</t>
        </is>
      </c>
      <c r="S5">
        <f>HYPERLINK("https://klasma.github.io/Logging_1761/artfynd/A 53276-2023 artfynd.xlsx", "A 53276-2023")</f>
        <v/>
      </c>
      <c r="T5">
        <f>HYPERLINK("https://klasma.github.io/Logging_1761/kartor/A 53276-2023 karta.png", "A 53276-2023")</f>
        <v/>
      </c>
      <c r="V5">
        <f>HYPERLINK("https://klasma.github.io/Logging_1761/klagomål/A 53276-2023 FSC-klagomål.docx", "A 53276-2023")</f>
        <v/>
      </c>
      <c r="W5">
        <f>HYPERLINK("https://klasma.github.io/Logging_1761/klagomålsmail/A 53276-2023 FSC-klagomål mail.docx", "A 53276-2023")</f>
        <v/>
      </c>
      <c r="X5">
        <f>HYPERLINK("https://klasma.github.io/Logging_1761/tillsyn/A 53276-2023 tillsynsbegäran.docx", "A 53276-2023")</f>
        <v/>
      </c>
      <c r="Y5">
        <f>HYPERLINK("https://klasma.github.io/Logging_1761/tillsynsmail/A 53276-2023 tillsynsbegäran mail.docx", "A 53276-2023")</f>
        <v/>
      </c>
      <c r="Z5">
        <f>HYPERLINK("https://klasma.github.io/Logging_1761/fåglar/A 53276-2023 prioriterade fågelarter.docx", "A 53276-2023")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45939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45939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45407-2025</t>
        </is>
      </c>
      <c r="B8" s="1" t="n">
        <v>45922.43200231482</v>
      </c>
      <c r="C8" s="1" t="n">
        <v>45939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45939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47571-2025</t>
        </is>
      </c>
      <c r="B10" s="1" t="n">
        <v>45931.39516203704</v>
      </c>
      <c r="C10" s="1" t="n">
        <v>45939</v>
      </c>
      <c r="D10" t="inlineStr">
        <is>
          <t>VÄRMLANDS LÄN</t>
        </is>
      </c>
      <c r="E10" t="inlineStr">
        <is>
          <t>HAMMARÖ</t>
        </is>
      </c>
      <c r="G10" t="n">
        <v>8.300000000000001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47571-2025 artfynd.xlsx", "A 47571-2025")</f>
        <v/>
      </c>
      <c r="T10">
        <f>HYPERLINK("https://klasma.github.io/Logging_1761/kartor/A 47571-2025 karta.png", "A 47571-2025")</f>
        <v/>
      </c>
      <c r="V10">
        <f>HYPERLINK("https://klasma.github.io/Logging_1761/klagomål/A 47571-2025 FSC-klagomål.docx", "A 47571-2025")</f>
        <v/>
      </c>
      <c r="W10">
        <f>HYPERLINK("https://klasma.github.io/Logging_1761/klagomålsmail/A 47571-2025 FSC-klagomål mail.docx", "A 47571-2025")</f>
        <v/>
      </c>
      <c r="X10">
        <f>HYPERLINK("https://klasma.github.io/Logging_1761/tillsyn/A 47571-2025 tillsynsbegäran.docx", "A 47571-2025")</f>
        <v/>
      </c>
      <c r="Y10">
        <f>HYPERLINK("https://klasma.github.io/Logging_1761/tillsynsmail/A 47571-2025 tillsynsbegäran mail.docx", "A 47571-2025")</f>
        <v/>
      </c>
    </row>
    <row r="11" ht="15" customHeight="1">
      <c r="A11" t="inlineStr">
        <is>
          <t>A 7593-2025</t>
        </is>
      </c>
      <c r="B11" s="1" t="n">
        <v>45705</v>
      </c>
      <c r="C11" s="1" t="n">
        <v>45939</v>
      </c>
      <c r="D11" t="inlineStr">
        <is>
          <t>VÄRMLANDS LÄN</t>
        </is>
      </c>
      <c r="E11" t="inlineStr">
        <is>
          <t>HAMMARÖ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Trollpipistrell</t>
        </is>
      </c>
      <c r="S11">
        <f>HYPERLINK("https://klasma.github.io/Logging_1761/artfynd/A 7593-2025 artfynd.xlsx", "A 7593-2025")</f>
        <v/>
      </c>
      <c r="T11">
        <f>HYPERLINK("https://klasma.github.io/Logging_1761/kartor/A 7593-2025 karta.png", "A 7593-2025")</f>
        <v/>
      </c>
      <c r="V11">
        <f>HYPERLINK("https://klasma.github.io/Logging_1761/klagomål/A 7593-2025 FSC-klagomål.docx", "A 7593-2025")</f>
        <v/>
      </c>
      <c r="W11">
        <f>HYPERLINK("https://klasma.github.io/Logging_1761/klagomålsmail/A 7593-2025 FSC-klagomål mail.docx", "A 7593-2025")</f>
        <v/>
      </c>
      <c r="X11">
        <f>HYPERLINK("https://klasma.github.io/Logging_1761/tillsyn/A 7593-2025 tillsynsbegäran.docx", "A 7593-2025")</f>
        <v/>
      </c>
      <c r="Y11">
        <f>HYPERLINK("https://klasma.github.io/Logging_1761/tillsynsmail/A 7593-2025 tillsynsbegäran mail.docx", "A 7593-2025")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45939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20755-2021</t>
        </is>
      </c>
      <c r="B13" s="1" t="n">
        <v>44316</v>
      </c>
      <c r="C13" s="1" t="n">
        <v>45939</v>
      </c>
      <c r="D13" t="inlineStr">
        <is>
          <t>VÄRMLANDS LÄN</t>
        </is>
      </c>
      <c r="E13" t="inlineStr">
        <is>
          <t>HAMMARÖ</t>
        </is>
      </c>
      <c r="G13" t="n">
        <v>16.8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HYPERLINK("https://klasma.github.io/Logging_1761/artfynd/A 20755-2021 artfynd.xlsx", "A 20755-2021")</f>
        <v/>
      </c>
      <c r="T13">
        <f>HYPERLINK("https://klasma.github.io/Logging_1761/kartor/A 20755-2021 karta.png", "A 20755-2021")</f>
        <v/>
      </c>
      <c r="V13">
        <f>HYPERLINK("https://klasma.github.io/Logging_1761/klagomål/A 20755-2021 FSC-klagomål.docx", "A 20755-2021")</f>
        <v/>
      </c>
      <c r="W13">
        <f>HYPERLINK("https://klasma.github.io/Logging_1761/klagomålsmail/A 20755-2021 FSC-klagomål mail.docx", "A 20755-2021")</f>
        <v/>
      </c>
      <c r="X13">
        <f>HYPERLINK("https://klasma.github.io/Logging_1761/tillsyn/A 20755-2021 tillsynsbegäran.docx", "A 20755-2021")</f>
        <v/>
      </c>
      <c r="Y13">
        <f>HYPERLINK("https://klasma.github.io/Logging_1761/tillsynsmail/A 20755-2021 tillsynsbegäran mail.docx", "A 20755-2021")</f>
        <v/>
      </c>
      <c r="Z13">
        <f>HYPERLINK("https://klasma.github.io/Logging_1761/fåglar/A 20755-2021 prioriterade fågelarter.docx", "A 20755-2021")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45939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45939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45939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45939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51008-2023</t>
        </is>
      </c>
      <c r="B18" s="1" t="n">
        <v>45218</v>
      </c>
      <c r="C18" s="1" t="n">
        <v>45939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13354-2022</t>
        </is>
      </c>
      <c r="B19" s="1" t="n">
        <v>44645</v>
      </c>
      <c r="C19" s="1" t="n">
        <v>45939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44894.425625</v>
      </c>
      <c r="C20" s="1" t="n">
        <v>45939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45423-2025</t>
        </is>
      </c>
      <c r="B21" s="1" t="n">
        <v>45922.45137731481</v>
      </c>
      <c r="C21" s="1" t="n">
        <v>45939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45939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45939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58382-2024</t>
        </is>
      </c>
      <c r="B24" s="1" t="n">
        <v>45632</v>
      </c>
      <c r="C24" s="1" t="n">
        <v>45939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45939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41899-2023</t>
        </is>
      </c>
      <c r="B26" s="1" t="n">
        <v>45176</v>
      </c>
      <c r="C26" s="1" t="n">
        <v>45939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42957-2023</t>
        </is>
      </c>
      <c r="B27" s="1" t="n">
        <v>45182</v>
      </c>
      <c r="C27" s="1" t="n">
        <v>45939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62456-2020</t>
        </is>
      </c>
      <c r="B28" s="1" t="n">
        <v>44160</v>
      </c>
      <c r="C28" s="1" t="n">
        <v>45939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55069-2023</t>
        </is>
      </c>
      <c r="B29" s="1" t="n">
        <v>45237</v>
      </c>
      <c r="C29" s="1" t="n">
        <v>45939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57893-2023</t>
        </is>
      </c>
      <c r="B30" s="1" t="n">
        <v>45247</v>
      </c>
      <c r="C30" s="1" t="n">
        <v>45939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37934-2024</t>
        </is>
      </c>
      <c r="B31" s="1" t="n">
        <v>45544</v>
      </c>
      <c r="C31" s="1" t="n">
        <v>45939</v>
      </c>
      <c r="D31" t="inlineStr">
        <is>
          <t>VÄRMLANDS LÄN</t>
        </is>
      </c>
      <c r="E31" t="inlineStr">
        <is>
          <t>HAMMARÖ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41661-2025</t>
        </is>
      </c>
      <c r="B32" s="1" t="n">
        <v>45902</v>
      </c>
      <c r="C32" s="1" t="n">
        <v>45939</v>
      </c>
      <c r="D32" t="inlineStr">
        <is>
          <t>VÄRMLANDS LÄN</t>
        </is>
      </c>
      <c r="E32" t="inlineStr">
        <is>
          <t>HAMMARÖ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58383-2024</t>
        </is>
      </c>
      <c r="B33" s="1" t="n">
        <v>45632</v>
      </c>
      <c r="C33" s="1" t="n">
        <v>45939</v>
      </c>
      <c r="D33" t="inlineStr">
        <is>
          <t>VÄRMLANDS LÄN</t>
        </is>
      </c>
      <c r="E33" t="inlineStr">
        <is>
          <t>HAMMARÖ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53369-2024</t>
        </is>
      </c>
      <c r="B34" s="1" t="n">
        <v>45614</v>
      </c>
      <c r="C34" s="1" t="n">
        <v>45939</v>
      </c>
      <c r="D34" t="inlineStr">
        <is>
          <t>VÄRMLANDS LÄN</t>
        </is>
      </c>
      <c r="E34" t="inlineStr">
        <is>
          <t>HAMMARÖ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13356-2022</t>
        </is>
      </c>
      <c r="B35" s="1" t="n">
        <v>44645</v>
      </c>
      <c r="C35" s="1" t="n">
        <v>45939</v>
      </c>
      <c r="D35" t="inlineStr">
        <is>
          <t>VÄRMLANDS LÄN</t>
        </is>
      </c>
      <c r="E35" t="inlineStr">
        <is>
          <t>HAMMARÖ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42951-2023</t>
        </is>
      </c>
      <c r="B36" s="1" t="n">
        <v>45182</v>
      </c>
      <c r="C36" s="1" t="n">
        <v>45939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42955-2023</t>
        </is>
      </c>
      <c r="B37" s="1" t="n">
        <v>45182</v>
      </c>
      <c r="C37" s="1" t="n">
        <v>45939</v>
      </c>
      <c r="D37" t="inlineStr">
        <is>
          <t>VÄRMLANDS LÄN</t>
        </is>
      </c>
      <c r="E37" t="inlineStr">
        <is>
          <t>HAMMARÖ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42960-2023</t>
        </is>
      </c>
      <c r="B38" s="1" t="n">
        <v>45182</v>
      </c>
      <c r="C38" s="1" t="n">
        <v>45939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10793-2025</t>
        </is>
      </c>
      <c r="B39" s="1" t="n">
        <v>45722</v>
      </c>
      <c r="C39" s="1" t="n">
        <v>45939</v>
      </c>
      <c r="D39" t="inlineStr">
        <is>
          <t>VÄRMLANDS LÄN</t>
        </is>
      </c>
      <c r="E39" t="inlineStr">
        <is>
          <t>HAMMARÖ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2025-10-09T12:37:31Z</dcterms:created>
  <dcterms:modified xmlns:dcterms="http://purl.org/dc/terms/" xmlns:xsi="http://www.w3.org/2001/XMLSchema-instance" xsi:type="dcterms:W3CDTF">2025-10-09T12:37:31Z</dcterms:modified>
</cp:coreProperties>
</file>