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45922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45922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45922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53276-2023</t>
        </is>
      </c>
      <c r="B5" s="1" t="n">
        <v>45229</v>
      </c>
      <c r="C5" s="1" t="n">
        <v>45922</v>
      </c>
      <c r="D5" t="inlineStr">
        <is>
          <t>VÄRMLANDS LÄN</t>
        </is>
      </c>
      <c r="E5" t="inlineStr">
        <is>
          <t>HAMMARÖ</t>
        </is>
      </c>
      <c r="F5" t="inlineStr">
        <is>
          <t>Övriga Aktiebolag</t>
        </is>
      </c>
      <c r="G5" t="n">
        <v>0.3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Mindre flugsnappare
Vanlig groda</t>
        </is>
      </c>
      <c r="S5">
        <f>HYPERLINK("https://klasma.github.io/Logging_1761/artfynd/A 53276-2023 artfynd.xlsx", "A 53276-2023")</f>
        <v/>
      </c>
      <c r="T5">
        <f>HYPERLINK("https://klasma.github.io/Logging_1761/kartor/A 53276-2023 karta.png", "A 53276-2023")</f>
        <v/>
      </c>
      <c r="V5">
        <f>HYPERLINK("https://klasma.github.io/Logging_1761/klagomål/A 53276-2023 FSC-klagomål.docx", "A 53276-2023")</f>
        <v/>
      </c>
      <c r="W5">
        <f>HYPERLINK("https://klasma.github.io/Logging_1761/klagomålsmail/A 53276-2023 FSC-klagomål mail.docx", "A 53276-2023")</f>
        <v/>
      </c>
      <c r="X5">
        <f>HYPERLINK("https://klasma.github.io/Logging_1761/tillsyn/A 53276-2023 tillsynsbegäran.docx", "A 53276-2023")</f>
        <v/>
      </c>
      <c r="Y5">
        <f>HYPERLINK("https://klasma.github.io/Logging_1761/tillsynsmail/A 53276-2023 tillsynsbegäran mail.docx", "A 53276-2023")</f>
        <v/>
      </c>
      <c r="Z5">
        <f>HYPERLINK("https://klasma.github.io/Logging_1761/fåglar/A 53276-2023 prioriterade fågelarter.docx", "A 53276-2023")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45922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45922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45922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24618-2022</t>
        </is>
      </c>
      <c r="B9" s="1" t="n">
        <v>44727</v>
      </c>
      <c r="C9" s="1" t="n">
        <v>45922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4.6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24618-2022 artfynd.xlsx", "A 24618-2022")</f>
        <v/>
      </c>
      <c r="T9">
        <f>HYPERLINK("https://klasma.github.io/Logging_1761/kartor/A 24618-2022 karta.png", "A 24618-2022")</f>
        <v/>
      </c>
      <c r="U9">
        <f>HYPERLINK("https://klasma.github.io/Logging_1761/knärot/A 24618-2022 karta knärot.png", "A 24618-2022")</f>
        <v/>
      </c>
      <c r="V9">
        <f>HYPERLINK("https://klasma.github.io/Logging_1761/klagomål/A 24618-2022 FSC-klagomål.docx", "A 24618-2022")</f>
        <v/>
      </c>
      <c r="W9">
        <f>HYPERLINK("https://klasma.github.io/Logging_1761/klagomålsmail/A 24618-2022 FSC-klagomål mail.docx", "A 24618-2022")</f>
        <v/>
      </c>
      <c r="X9">
        <f>HYPERLINK("https://klasma.github.io/Logging_1761/tillsyn/A 24618-2022 tillsynsbegäran.docx", "A 24618-2022")</f>
        <v/>
      </c>
      <c r="Y9">
        <f>HYPERLINK("https://klasma.github.io/Logging_1761/tillsynsmail/A 24618-2022 tillsynsbegäran mail.docx", "A 24618-2022")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45922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7593-2025</t>
        </is>
      </c>
      <c r="B11" s="1" t="n">
        <v>45705</v>
      </c>
      <c r="C11" s="1" t="n">
        <v>45922</v>
      </c>
      <c r="D11" t="inlineStr">
        <is>
          <t>VÄRMLANDS LÄN</t>
        </is>
      </c>
      <c r="E11" t="inlineStr">
        <is>
          <t>HAMMARÖ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Trollpipistrell</t>
        </is>
      </c>
      <c r="S11">
        <f>HYPERLINK("https://klasma.github.io/Logging_1761/artfynd/A 7593-2025 artfynd.xlsx", "A 7593-2025")</f>
        <v/>
      </c>
      <c r="T11">
        <f>HYPERLINK("https://klasma.github.io/Logging_1761/kartor/A 7593-2025 karta.png", "A 7593-2025")</f>
        <v/>
      </c>
      <c r="V11">
        <f>HYPERLINK("https://klasma.github.io/Logging_1761/klagomål/A 7593-2025 FSC-klagomål.docx", "A 7593-2025")</f>
        <v/>
      </c>
      <c r="W11">
        <f>HYPERLINK("https://klasma.github.io/Logging_1761/klagomålsmail/A 7593-2025 FSC-klagomål mail.docx", "A 7593-2025")</f>
        <v/>
      </c>
      <c r="X11">
        <f>HYPERLINK("https://klasma.github.io/Logging_1761/tillsyn/A 7593-2025 tillsynsbegäran.docx", "A 7593-2025")</f>
        <v/>
      </c>
      <c r="Y11">
        <f>HYPERLINK("https://klasma.github.io/Logging_1761/tillsynsmail/A 7593-2025 tillsynsbegäran mail.docx", "A 7593-2025")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45922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45922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45922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45922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41895-2023</t>
        </is>
      </c>
      <c r="B16" s="1" t="n">
        <v>45176</v>
      </c>
      <c r="C16" s="1" t="n">
        <v>45922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58382-2024</t>
        </is>
      </c>
      <c r="B17" s="1" t="n">
        <v>45632</v>
      </c>
      <c r="C17" s="1" t="n">
        <v>45922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42957-2023</t>
        </is>
      </c>
      <c r="B18" s="1" t="n">
        <v>45182</v>
      </c>
      <c r="C18" s="1" t="n">
        <v>45922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55066-2023</t>
        </is>
      </c>
      <c r="B19" s="1" t="n">
        <v>45237</v>
      </c>
      <c r="C19" s="1" t="n">
        <v>45922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45922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53369-2024</t>
        </is>
      </c>
      <c r="B21" s="1" t="n">
        <v>45614</v>
      </c>
      <c r="C21" s="1" t="n">
        <v>45922</v>
      </c>
      <c r="D21" t="inlineStr">
        <is>
          <t>VÄRMLANDS LÄN</t>
        </is>
      </c>
      <c r="E21" t="inlineStr">
        <is>
          <t>HAMMARÖ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41899-2023</t>
        </is>
      </c>
      <c r="B22" s="1" t="n">
        <v>45176</v>
      </c>
      <c r="C22" s="1" t="n">
        <v>45922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37934-2024</t>
        </is>
      </c>
      <c r="B23" s="1" t="n">
        <v>45544</v>
      </c>
      <c r="C23" s="1" t="n">
        <v>45922</v>
      </c>
      <c r="D23" t="inlineStr">
        <is>
          <t>VÄRMLANDS LÄN</t>
        </is>
      </c>
      <c r="E23" t="inlineStr">
        <is>
          <t>HAMMARÖ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10793-2025</t>
        </is>
      </c>
      <c r="B24" s="1" t="n">
        <v>45722</v>
      </c>
      <c r="C24" s="1" t="n">
        <v>45922</v>
      </c>
      <c r="D24" t="inlineStr">
        <is>
          <t>VÄRMLANDS LÄN</t>
        </is>
      </c>
      <c r="E24" t="inlineStr">
        <is>
          <t>HAMMARÖ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58383-2024</t>
        </is>
      </c>
      <c r="B25" s="1" t="n">
        <v>45632</v>
      </c>
      <c r="C25" s="1" t="n">
        <v>45922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56799-2022</t>
        </is>
      </c>
      <c r="B26" s="1" t="n">
        <v>44894.425625</v>
      </c>
      <c r="C26" s="1" t="n">
        <v>45922</v>
      </c>
      <c r="D26" t="inlineStr">
        <is>
          <t>VÄRMLANDS LÄN</t>
        </is>
      </c>
      <c r="E26" t="inlineStr">
        <is>
          <t>HAMMARÖ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13356-2022</t>
        </is>
      </c>
      <c r="B27" s="1" t="n">
        <v>44645</v>
      </c>
      <c r="C27" s="1" t="n">
        <v>45922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62456-2020</t>
        </is>
      </c>
      <c r="B28" s="1" t="n">
        <v>44160</v>
      </c>
      <c r="C28" s="1" t="n">
        <v>45922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2769-2023</t>
        </is>
      </c>
      <c r="B29" s="1" t="n">
        <v>44944</v>
      </c>
      <c r="C29" s="1" t="n">
        <v>45922</v>
      </c>
      <c r="D29" t="inlineStr">
        <is>
          <t>VÄRMLANDS LÄN</t>
        </is>
      </c>
      <c r="E29" t="inlineStr">
        <is>
          <t>HAMMARÖ</t>
        </is>
      </c>
      <c r="G29" t="n">
        <v>8.699999999999999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41661-2025</t>
        </is>
      </c>
      <c r="B30" s="1" t="n">
        <v>45902.35084490741</v>
      </c>
      <c r="C30" s="1" t="n">
        <v>45922</v>
      </c>
      <c r="D30" t="inlineStr">
        <is>
          <t>VÄRMLANDS LÄN</t>
        </is>
      </c>
      <c r="E30" t="inlineStr">
        <is>
          <t>HAMMARÖ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42951-2023</t>
        </is>
      </c>
      <c r="B31" s="1" t="n">
        <v>45182</v>
      </c>
      <c r="C31" s="1" t="n">
        <v>45922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42955-2023</t>
        </is>
      </c>
      <c r="B32" s="1" t="n">
        <v>45182</v>
      </c>
      <c r="C32" s="1" t="n">
        <v>45922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42960-2023</t>
        </is>
      </c>
      <c r="B33" s="1" t="n">
        <v>45182</v>
      </c>
      <c r="C33" s="1" t="n">
        <v>45922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55069-2023</t>
        </is>
      </c>
      <c r="B34" s="1" t="n">
        <v>45237</v>
      </c>
      <c r="C34" s="1" t="n">
        <v>45922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57893-2023</t>
        </is>
      </c>
      <c r="B35" s="1" t="n">
        <v>45247</v>
      </c>
      <c r="C35" s="1" t="n">
        <v>45922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51008-2023</t>
        </is>
      </c>
      <c r="B36" s="1" t="n">
        <v>45218</v>
      </c>
      <c r="C36" s="1" t="n">
        <v>45922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2025-09-22T20:24:21Z</dcterms:created>
  <dcterms:modified xmlns:dcterms="http://purl.org/dc/terms/" xmlns:xsi="http://www.w3.org/2001/XMLSchema-instance" xsi:type="dcterms:W3CDTF">2025-09-22T20:24:21Z</dcterms:modified>
</cp:coreProperties>
</file>