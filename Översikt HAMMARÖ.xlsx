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45364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Knärot
Spillkråka
Tretåig hackspett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  <c r="Z2">
        <f>HYPERLINK("https://klasma.github.io/Logging_1761/fåglar/A 24616-2022 prioriterade fågelarter.docx",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45364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68622-2021</t>
        </is>
      </c>
      <c r="B4" s="1" t="n">
        <v>44529</v>
      </c>
      <c r="C4" s="1" t="n">
        <v>45364</v>
      </c>
      <c r="D4" t="inlineStr">
        <is>
          <t>VÄRMLANDS LÄN</t>
        </is>
      </c>
      <c r="E4" t="inlineStr">
        <is>
          <t>HAMMARÖ</t>
        </is>
      </c>
      <c r="G4" t="n">
        <v>9.699999999999999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Tallticka</t>
        </is>
      </c>
      <c r="S4">
        <f>HYPERLINK("https://klasma.github.io/Logging_1761/artfynd/A 68622-2021 artfynd.xlsx", "A 68622-2021")</f>
        <v/>
      </c>
      <c r="T4">
        <f>HYPERLINK("https://klasma.github.io/Logging_1761/kartor/A 68622-2021 karta.png", "A 68622-2021")</f>
        <v/>
      </c>
      <c r="V4">
        <f>HYPERLINK("https://klasma.github.io/Logging_1761/klagomål/A 68622-2021 FSC-klagomål.docx", "A 68622-2021")</f>
        <v/>
      </c>
      <c r="W4">
        <f>HYPERLINK("https://klasma.github.io/Logging_1761/klagomålsmail/A 68622-2021 FSC-klagomål mail.docx", "A 68622-2021")</f>
        <v/>
      </c>
      <c r="X4">
        <f>HYPERLINK("https://klasma.github.io/Logging_1761/tillsyn/A 68622-2021 tillsynsbegäran.docx", "A 68622-2021")</f>
        <v/>
      </c>
      <c r="Y4">
        <f>HYPERLINK("https://klasma.github.io/Logging_1761/tillsynsmail/A 68622-2021 tillsynsbegäran mail.docx", "A 68622-2021")</f>
        <v/>
      </c>
    </row>
    <row r="5" ht="15" customHeight="1">
      <c r="A5" t="inlineStr">
        <is>
          <t>A 24618-2022</t>
        </is>
      </c>
      <c r="B5" s="1" t="n">
        <v>44727</v>
      </c>
      <c r="C5" s="1" t="n">
        <v>45364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HYPERLINK("https://klasma.github.io/Logging_1761/artfynd/A 24618-2022 artfynd.xlsx", "A 24618-2022")</f>
        <v/>
      </c>
      <c r="T5">
        <f>HYPERLINK("https://klasma.github.io/Logging_1761/kartor/A 24618-2022 karta.png", "A 24618-2022")</f>
        <v/>
      </c>
      <c r="U5">
        <f>HYPERLINK("https://klasma.github.io/Logging_1761/knärot/A 24618-2022 karta knärot.png", "A 24618-2022")</f>
        <v/>
      </c>
      <c r="V5">
        <f>HYPERLINK("https://klasma.github.io/Logging_1761/klagomål/A 24618-2022 FSC-klagomål.docx", "A 24618-2022")</f>
        <v/>
      </c>
      <c r="W5">
        <f>HYPERLINK("https://klasma.github.io/Logging_1761/klagomålsmail/A 24618-2022 FSC-klagomål mail.docx", "A 24618-2022")</f>
        <v/>
      </c>
      <c r="X5">
        <f>HYPERLINK("https://klasma.github.io/Logging_1761/tillsyn/A 24618-2022 tillsynsbegäran.docx", "A 24618-2022")</f>
        <v/>
      </c>
      <c r="Y5">
        <f>HYPERLINK("https://klasma.github.io/Logging_1761/tillsynsmail/A 24618-2022 tillsynsbegäran mail.docx", "A 24618-2022")</f>
        <v/>
      </c>
    </row>
    <row r="6" ht="15" customHeight="1">
      <c r="A6" t="inlineStr">
        <is>
          <t>A 55068-2023</t>
        </is>
      </c>
      <c r="B6" s="1" t="n">
        <v>45237</v>
      </c>
      <c r="C6" s="1" t="n">
        <v>45364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Motaggsvamp</t>
        </is>
      </c>
      <c r="S6">
        <f>HYPERLINK("https://klasma.github.io/Logging_1761/artfynd/A 55068-2023 artfynd.xlsx", "A 55068-2023")</f>
        <v/>
      </c>
      <c r="T6">
        <f>HYPERLINK("https://klasma.github.io/Logging_1761/kartor/A 55068-2023 karta.png", "A 55068-2023")</f>
        <v/>
      </c>
      <c r="V6">
        <f>HYPERLINK("https://klasma.github.io/Logging_1761/klagomål/A 55068-2023 FSC-klagomål.docx", "A 55068-2023")</f>
        <v/>
      </c>
      <c r="W6">
        <f>HYPERLINK("https://klasma.github.io/Logging_1761/klagomålsmail/A 55068-2023 FSC-klagomål mail.docx", "A 55068-2023")</f>
        <v/>
      </c>
      <c r="X6">
        <f>HYPERLINK("https://klasma.github.io/Logging_1761/tillsyn/A 55068-2023 tillsynsbegäran.docx", "A 55068-2023")</f>
        <v/>
      </c>
      <c r="Y6">
        <f>HYPERLINK("https://klasma.github.io/Logging_1761/tillsynsmail/A 55068-2023 tillsynsbegäran mail.docx", "A 55068-2023")</f>
        <v/>
      </c>
    </row>
    <row r="7" ht="15" customHeight="1">
      <c r="A7" t="inlineStr">
        <is>
          <t>A 60674-2018</t>
        </is>
      </c>
      <c r="B7" s="1" t="n">
        <v>43409</v>
      </c>
      <c r="C7" s="1" t="n">
        <v>45364</v>
      </c>
      <c r="D7" t="inlineStr">
        <is>
          <t>VÄRMLANDS LÄN</t>
        </is>
      </c>
      <c r="E7" t="inlineStr">
        <is>
          <t>HAMMARÖ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67502-2018</t>
        </is>
      </c>
      <c r="B8" s="1" t="n">
        <v>43439</v>
      </c>
      <c r="C8" s="1" t="n">
        <v>45364</v>
      </c>
      <c r="D8" t="inlineStr">
        <is>
          <t>VÄRMLANDS LÄN</t>
        </is>
      </c>
      <c r="E8" t="inlineStr">
        <is>
          <t>HAMMARÖ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23183-2020</t>
        </is>
      </c>
      <c r="B9" s="1" t="n">
        <v>43966</v>
      </c>
      <c r="C9" s="1" t="n">
        <v>45364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54326-2020</t>
        </is>
      </c>
      <c r="B10" s="1" t="n">
        <v>44126</v>
      </c>
      <c r="C10" s="1" t="n">
        <v>45364</v>
      </c>
      <c r="D10" t="inlineStr">
        <is>
          <t>VÄRMLANDS LÄN</t>
        </is>
      </c>
      <c r="E10" t="inlineStr">
        <is>
          <t>HAMMARÖ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62456-2020</t>
        </is>
      </c>
      <c r="B11" s="1" t="n">
        <v>44160</v>
      </c>
      <c r="C11" s="1" t="n">
        <v>45364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62608-2020</t>
        </is>
      </c>
      <c r="B12" s="1" t="n">
        <v>44161</v>
      </c>
      <c r="C12" s="1" t="n">
        <v>45364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5072-2021</t>
        </is>
      </c>
      <c r="B13" s="1" t="n">
        <v>44228</v>
      </c>
      <c r="C13" s="1" t="n">
        <v>45364</v>
      </c>
      <c r="D13" t="inlineStr">
        <is>
          <t>VÄRMLANDS LÄN</t>
        </is>
      </c>
      <c r="E13" t="inlineStr">
        <is>
          <t>HAMMARÖ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16890-2021</t>
        </is>
      </c>
      <c r="B14" s="1" t="n">
        <v>44295</v>
      </c>
      <c r="C14" s="1" t="n">
        <v>45364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20755-2021</t>
        </is>
      </c>
      <c r="B15" s="1" t="n">
        <v>44316</v>
      </c>
      <c r="C15" s="1" t="n">
        <v>45364</v>
      </c>
      <c r="D15" t="inlineStr">
        <is>
          <t>VÄRMLANDS LÄN</t>
        </is>
      </c>
      <c r="E15" t="inlineStr">
        <is>
          <t>HAMMARÖ</t>
        </is>
      </c>
      <c r="G15" t="n">
        <v>16.8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43631-2021</t>
        </is>
      </c>
      <c r="B16" s="1" t="n">
        <v>44433</v>
      </c>
      <c r="C16" s="1" t="n">
        <v>45364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56835-2021</t>
        </is>
      </c>
      <c r="B17" s="1" t="n">
        <v>44481</v>
      </c>
      <c r="C17" s="1" t="n">
        <v>45364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18.8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13354-2022</t>
        </is>
      </c>
      <c r="B18" s="1" t="n">
        <v>44645</v>
      </c>
      <c r="C18" s="1" t="n">
        <v>45364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45364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</v>
      </c>
      <c r="C20" s="1" t="n">
        <v>45364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45364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41897-2023</t>
        </is>
      </c>
      <c r="B22" s="1" t="n">
        <v>45176</v>
      </c>
      <c r="C22" s="1" t="n">
        <v>45364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41803-2023</t>
        </is>
      </c>
      <c r="B23" s="1" t="n">
        <v>45176</v>
      </c>
      <c r="C23" s="1" t="n">
        <v>45364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41892-2023</t>
        </is>
      </c>
      <c r="B24" s="1" t="n">
        <v>45176</v>
      </c>
      <c r="C24" s="1" t="n">
        <v>45364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41891-2023</t>
        </is>
      </c>
      <c r="B25" s="1" t="n">
        <v>45176</v>
      </c>
      <c r="C25" s="1" t="n">
        <v>45364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45364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41899-2023</t>
        </is>
      </c>
      <c r="B27" s="1" t="n">
        <v>45176</v>
      </c>
      <c r="C27" s="1" t="n">
        <v>45364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42303-2023</t>
        </is>
      </c>
      <c r="B28" s="1" t="n">
        <v>45180</v>
      </c>
      <c r="C28" s="1" t="n">
        <v>45364</v>
      </c>
      <c r="D28" t="inlineStr">
        <is>
          <t>VÄRMLANDS LÄN</t>
        </is>
      </c>
      <c r="E28" t="inlineStr">
        <is>
          <t>HAMMARÖ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42337-2023</t>
        </is>
      </c>
      <c r="B29" s="1" t="n">
        <v>45180</v>
      </c>
      <c r="C29" s="1" t="n">
        <v>45364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42339-2023</t>
        </is>
      </c>
      <c r="B30" s="1" t="n">
        <v>45180</v>
      </c>
      <c r="C30" s="1" t="n">
        <v>45364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42344-2023</t>
        </is>
      </c>
      <c r="B31" s="1" t="n">
        <v>45180</v>
      </c>
      <c r="C31" s="1" t="n">
        <v>45364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42957-2023</t>
        </is>
      </c>
      <c r="B32" s="1" t="n">
        <v>45182</v>
      </c>
      <c r="C32" s="1" t="n">
        <v>45364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45364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45364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45364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47008-2023</t>
        </is>
      </c>
      <c r="B36" s="1" t="n">
        <v>45201</v>
      </c>
      <c r="C36" s="1" t="n">
        <v>45364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46982-2023</t>
        </is>
      </c>
      <c r="B37" s="1" t="n">
        <v>45201</v>
      </c>
      <c r="C37" s="1" t="n">
        <v>45364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51008-2023</t>
        </is>
      </c>
      <c r="B38" s="1" t="n">
        <v>45218</v>
      </c>
      <c r="C38" s="1" t="n">
        <v>45364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53288-2023</t>
        </is>
      </c>
      <c r="B39" s="1" t="n">
        <v>45229</v>
      </c>
      <c r="C39" s="1" t="n">
        <v>45364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53276-2023</t>
        </is>
      </c>
      <c r="B40" s="1" t="n">
        <v>45229</v>
      </c>
      <c r="C40" s="1" t="n">
        <v>45364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45364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45364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45364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57893-2023</t>
        </is>
      </c>
      <c r="B44" s="1" t="n">
        <v>45247</v>
      </c>
      <c r="C44" s="1" t="n">
        <v>45364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2024-03-13T14:02:03Z</dcterms:created>
  <dcterms:modified xmlns:dcterms="http://purl.org/dc/terms/" xmlns:xsi="http://www.w3.org/2001/XMLSchema-instance" xsi:type="dcterms:W3CDTF">2024-03-13T14:02:03Z</dcterms:modified>
</cp:coreProperties>
</file>