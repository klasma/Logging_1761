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46249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46249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46249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46249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46249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46249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46249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46249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46249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46249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46249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2769-2023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44944</v>
      </c>
      <c r="E13" s="1" t="n">
        <v>46249</v>
      </c>
      <c r="F13" t="inlineStr">
        <is>
          <t>VÄRMLANDS LÄN</t>
        </is>
      </c>
      <c r="G13" t="inlineStr">
        <is>
          <t>HAMMARÖ</t>
        </is>
      </c>
      <c r="I13" t="n">
        <v>8.699999999999999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HYPERLINK("https://klasma.github.io/Logging_1761/artfynd/A 2769-2023 artfynd.xlsx", "A 2769-2023")</f>
        <v/>
      </c>
      <c r="X13">
        <f>HYPERLINK("https://klasma.github.io/Logging_1761/kartor/A 2769-2023 karta.png", "A 2769-2023")</f>
        <v/>
      </c>
      <c r="Y13">
        <f>HYPERLINK("https://klasma.github.io/Logging_1761/kartor_geotiff/A 2769-2023 georefererad karta.tif", "A 2769-2023")</f>
        <v/>
      </c>
      <c r="AA13">
        <f>HYPERLINK("https://klasma.github.io/Logging_1761/klagomål/A 2769-2023 FSC-klagomål.docx", "A 2769-2023")</f>
        <v/>
      </c>
      <c r="AB13">
        <f>HYPERLINK("https://klasma.github.io/Logging_1761/klagomålsmail/A 2769-2023 FSC-klagomål mail.docx", "A 2769-2023")</f>
        <v/>
      </c>
      <c r="AC13">
        <f>HYPERLINK("https://klasma.github.io/Logging_1761/tillsyn/A 2769-2023 tillsynsbegäran.docx", "A 2769-2023")</f>
        <v/>
      </c>
      <c r="AD13">
        <f>HYPERLINK("https://klasma.github.io/Logging_1761/tillsynsmail/A 2769-2023 tillsynsbegäran mail.docx", "A 2769-2023")</f>
        <v/>
      </c>
    </row>
    <row r="14" ht="15" customHeight="1">
      <c r="A14" t="inlineStr">
        <is>
          <t>A 41899-2023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45176</v>
      </c>
      <c r="E14" s="1" t="n">
        <v>46249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Grönsiska</t>
        </is>
      </c>
      <c r="W14">
        <f>HYPERLINK("https://klasma.github.io/Logging_1761/artfynd/A 41899-2023 artfynd.xlsx", "A 41899-2023")</f>
        <v/>
      </c>
      <c r="X14">
        <f>HYPERLINK("https://klasma.github.io/Logging_1761/kartor/A 41899-2023 karta.png", "A 41899-2023")</f>
        <v/>
      </c>
      <c r="Y14">
        <f>HYPERLINK("https://klasma.github.io/Logging_1761/kartor_geotiff/A 41899-2023 georefererad karta.tif", "A 41899-2023")</f>
        <v/>
      </c>
      <c r="AA14">
        <f>HYPERLINK("https://klasma.github.io/Logging_1761/klagomål/A 41899-2023 FSC-klagomål.docx", "A 41899-2023")</f>
        <v/>
      </c>
      <c r="AB14">
        <f>HYPERLINK("https://klasma.github.io/Logging_1761/klagomålsmail/A 41899-2023 FSC-klagomål mail.docx", "A 41899-2023")</f>
        <v/>
      </c>
      <c r="AC14">
        <f>HYPERLINK("https://klasma.github.io/Logging_1761/tillsyn/A 41899-2023 tillsynsbegäran.docx", "A 41899-2023")</f>
        <v/>
      </c>
      <c r="AD14">
        <f>HYPERLINK("https://klasma.github.io/Logging_1761/tillsynsmail/A 41899-2023 tillsynsbegäran mail.docx", "A 41899-2023")</f>
        <v/>
      </c>
    </row>
    <row r="15" ht="15" customHeight="1">
      <c r="A15" t="inlineStr">
        <is>
          <t>A 53276-2023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45229</v>
      </c>
      <c r="E15" s="1" t="n">
        <v>46249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0.3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groda</t>
        </is>
      </c>
      <c r="W15">
        <f>HYPERLINK("https://klasma.github.io/Logging_1761/artfynd/A 53276-2023 artfynd.xlsx", "A 53276-2023")</f>
        <v/>
      </c>
      <c r="X15">
        <f>HYPERLINK("https://klasma.github.io/Logging_1761/kartor/A 53276-2023 karta.png", "A 53276-2023")</f>
        <v/>
      </c>
      <c r="Y15">
        <f>HYPERLINK("https://klasma.github.io/Logging_1761/kartor_geotiff/A 53276-2023 georefererad karta.tif", "A 53276-2023")</f>
        <v/>
      </c>
      <c r="AA15">
        <f>HYPERLINK("https://klasma.github.io/Logging_1761/klagomål/A 53276-2023 FSC-klagomål.docx", "A 53276-2023")</f>
        <v/>
      </c>
      <c r="AB15">
        <f>HYPERLINK("https://klasma.github.io/Logging_1761/klagomålsmail/A 53276-2023 FSC-klagomål mail.docx", "A 53276-2023")</f>
        <v/>
      </c>
      <c r="AC15">
        <f>HYPERLINK("https://klasma.github.io/Logging_1761/tillsyn/A 53276-2023 tillsynsbegäran.docx", "A 53276-2023")</f>
        <v/>
      </c>
      <c r="AD15">
        <f>HYPERLINK("https://klasma.github.io/Logging_1761/tillsynsmail/A 53276-2023 tillsynsbegäran mail.docx", "A 53276-2023")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46249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46249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46249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46249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46249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13354-2022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44645</v>
      </c>
      <c r="E21" s="1" t="n">
        <v>46249</v>
      </c>
      <c r="F21" t="inlineStr">
        <is>
          <t>VÄRMLANDS LÄN</t>
        </is>
      </c>
      <c r="G21" t="inlineStr">
        <is>
          <t>HAMMARÖ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56799-2022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44894</v>
      </c>
      <c r="E22" s="1" t="n">
        <v>46249</v>
      </c>
      <c r="F22" t="inlineStr">
        <is>
          <t>VÄRMLANDS LÄN</t>
        </is>
      </c>
      <c r="G22" t="inlineStr">
        <is>
          <t>HAMMARÖ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46249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41895-2023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45176</v>
      </c>
      <c r="E24" s="1" t="n">
        <v>46249</v>
      </c>
      <c r="F24" t="inlineStr">
        <is>
          <t>VÄRMLANDS LÄN</t>
        </is>
      </c>
      <c r="G24" t="inlineStr">
        <is>
          <t>HAMMARÖ</t>
        </is>
      </c>
      <c r="H24" t="inlineStr">
        <is>
          <t>Övriga Aktiebolag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46249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55069-2023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45237</v>
      </c>
      <c r="E26" s="1" t="n">
        <v>46249</v>
      </c>
      <c r="F26" t="inlineStr">
        <is>
          <t>VÄRMLANDS LÄN</t>
        </is>
      </c>
      <c r="G26" t="inlineStr">
        <is>
          <t>HAMMARÖ</t>
        </is>
      </c>
      <c r="H26" t="inlineStr">
        <is>
          <t>Kommuner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58383-2024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46249</v>
      </c>
      <c r="F27" t="inlineStr">
        <is>
          <t>VÄRMLANDS LÄN</t>
        </is>
      </c>
      <c r="G27" t="inlineStr">
        <is>
          <t>HAMMARÖ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53369-2024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46249</v>
      </c>
      <c r="F28" t="inlineStr">
        <is>
          <t>VÄRMLANDS LÄN</t>
        </is>
      </c>
      <c r="G28" t="inlineStr">
        <is>
          <t>HAMMARÖ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46249</v>
      </c>
      <c r="F29" t="inlineStr">
        <is>
          <t>VÄRMLANDS LÄN</t>
        </is>
      </c>
      <c r="G29" t="inlineStr">
        <is>
          <t>HAMMARÖ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46249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46249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46249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46249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2026-08-15T08:28:45Z</dcterms:created>
  <dcterms:modified xmlns:dcterms="http://purl.org/dc/terms/" xmlns:xsi="http://www.w3.org/2001/XMLSchema-instance" xsi:type="dcterms:W3CDTF">2026-08-15T08:28:45Z</dcterms:modified>
</cp:coreProperties>
</file>