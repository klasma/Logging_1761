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68622-2021</t>
        </is>
      </c>
      <c r="B2" s="1" t="n">
        <v>44529</v>
      </c>
      <c r="C2" s="1" t="n">
        <v>45760</v>
      </c>
      <c r="D2" t="inlineStr">
        <is>
          <t>VÄRMLANDS LÄN</t>
        </is>
      </c>
      <c r="E2" t="inlineStr">
        <is>
          <t>HAMMARÖ</t>
        </is>
      </c>
      <c r="G2" t="n">
        <v>9.699999999999999</v>
      </c>
      <c r="H2" t="n">
        <v>4</v>
      </c>
      <c r="I2" t="n">
        <v>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Tallticka
Jättesvampmal
Åkergroda
Vanlig groda
Vanlig padda</t>
        </is>
      </c>
      <c r="S2">
        <f>HYPERLINK("https://klasma.github.io/Logging_1761/artfynd/A 68622-2021 artfynd.xlsx", "A 68622-2021")</f>
        <v/>
      </c>
      <c r="T2">
        <f>HYPERLINK("https://klasma.github.io/Logging_1761/kartor/A 68622-2021 karta.png", "A 68622-2021")</f>
        <v/>
      </c>
      <c r="U2">
        <f>HYPERLINK("https://klasma.github.io/Logging_1761/knärot/A 68622-2021 karta knärot.png", "A 68622-2021")</f>
        <v/>
      </c>
      <c r="V2">
        <f>HYPERLINK("https://klasma.github.io/Logging_1761/klagomål/A 68622-2021 FSC-klagomål.docx", "A 68622-2021")</f>
        <v/>
      </c>
      <c r="W2">
        <f>HYPERLINK("https://klasma.github.io/Logging_1761/klagomålsmail/A 68622-2021 FSC-klagomål mail.docx", "A 68622-2021")</f>
        <v/>
      </c>
      <c r="X2">
        <f>HYPERLINK("https://klasma.github.io/Logging_1761/tillsyn/A 68622-2021 tillsynsbegäran.docx", "A 68622-2021")</f>
        <v/>
      </c>
      <c r="Y2">
        <f>HYPERLINK("https://klasma.github.io/Logging_1761/tillsynsmail/A 68622-2021 tillsynsbegäran mail.docx", "A 68622-2021")</f>
        <v/>
      </c>
    </row>
    <row r="3" ht="15" customHeight="1">
      <c r="A3" t="inlineStr">
        <is>
          <t>A 24616-2022</t>
        </is>
      </c>
      <c r="B3" s="1" t="n">
        <v>44727</v>
      </c>
      <c r="C3" s="1" t="n">
        <v>45760</v>
      </c>
      <c r="D3" t="inlineStr">
        <is>
          <t>VÄRMLANDS LÄN</t>
        </is>
      </c>
      <c r="E3" t="inlineStr">
        <is>
          <t>HAMMARÖ</t>
        </is>
      </c>
      <c r="F3" t="inlineStr">
        <is>
          <t>Kommuner</t>
        </is>
      </c>
      <c r="G3" t="n">
        <v>4</v>
      </c>
      <c r="H3" t="n">
        <v>3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Knärot
Spillkråka
Tretåig hackspett</t>
        </is>
      </c>
      <c r="S3">
        <f>HYPERLINK("https://klasma.github.io/Logging_1761/artfynd/A 24616-2022 artfynd.xlsx", "A 24616-2022")</f>
        <v/>
      </c>
      <c r="T3">
        <f>HYPERLINK("https://klasma.github.io/Logging_1761/kartor/A 24616-2022 karta.png", "A 24616-2022")</f>
        <v/>
      </c>
      <c r="U3">
        <f>HYPERLINK("https://klasma.github.io/Logging_1761/knärot/A 24616-2022 karta knärot.png", "A 24616-2022")</f>
        <v/>
      </c>
      <c r="V3">
        <f>HYPERLINK("https://klasma.github.io/Logging_1761/klagomål/A 24616-2022 FSC-klagomål.docx", "A 24616-2022")</f>
        <v/>
      </c>
      <c r="W3">
        <f>HYPERLINK("https://klasma.github.io/Logging_1761/klagomålsmail/A 24616-2022 FSC-klagomål mail.docx", "A 24616-2022")</f>
        <v/>
      </c>
      <c r="X3">
        <f>HYPERLINK("https://klasma.github.io/Logging_1761/tillsyn/A 24616-2022 tillsynsbegäran.docx", "A 24616-2022")</f>
        <v/>
      </c>
      <c r="Y3">
        <f>HYPERLINK("https://klasma.github.io/Logging_1761/tillsynsmail/A 24616-2022 tillsynsbegäran mail.docx", "A 24616-2022")</f>
        <v/>
      </c>
      <c r="Z3">
        <f>HYPERLINK("https://klasma.github.io/Logging_1761/fåglar/A 24616-2022 prioriterade fågelarter.docx", "A 24616-2022")</f>
        <v/>
      </c>
    </row>
    <row r="4" ht="15" customHeight="1">
      <c r="A4" t="inlineStr">
        <is>
          <t>A 61380-2023</t>
        </is>
      </c>
      <c r="B4" s="1" t="n">
        <v>45264</v>
      </c>
      <c r="C4" s="1" t="n">
        <v>45760</v>
      </c>
      <c r="D4" t="inlineStr">
        <is>
          <t>VÄRMLANDS LÄN</t>
        </is>
      </c>
      <c r="E4" t="inlineStr">
        <is>
          <t>HAMMARÖ</t>
        </is>
      </c>
      <c r="G4" t="n">
        <v>3.3</v>
      </c>
      <c r="H4" t="n">
        <v>1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Knärot
Gropticka
Gullgröppa</t>
        </is>
      </c>
      <c r="S4">
        <f>HYPERLINK("https://klasma.github.io/Logging_1761/artfynd/A 61380-2023 artfynd.xlsx", "A 61380-2023")</f>
        <v/>
      </c>
      <c r="T4">
        <f>HYPERLINK("https://klasma.github.io/Logging_1761/kartor/A 61380-2023 karta.png", "A 61380-2023")</f>
        <v/>
      </c>
      <c r="U4">
        <f>HYPERLINK("https://klasma.github.io/Logging_1761/knärot/A 61380-2023 karta knärot.png", "A 61380-2023")</f>
        <v/>
      </c>
      <c r="V4">
        <f>HYPERLINK("https://klasma.github.io/Logging_1761/klagomål/A 61380-2023 FSC-klagomål.docx", "A 61380-2023")</f>
        <v/>
      </c>
      <c r="W4">
        <f>HYPERLINK("https://klasma.github.io/Logging_1761/klagomålsmail/A 61380-2023 FSC-klagomål mail.docx", "A 61380-2023")</f>
        <v/>
      </c>
      <c r="X4">
        <f>HYPERLINK("https://klasma.github.io/Logging_1761/tillsyn/A 61380-2023 tillsynsbegäran.docx", "A 61380-2023")</f>
        <v/>
      </c>
      <c r="Y4">
        <f>HYPERLINK("https://klasma.github.io/Logging_1761/tillsynsmail/A 61380-2023 tillsynsbegäran mail.docx", "A 61380-2023")</f>
        <v/>
      </c>
    </row>
    <row r="5" ht="15" customHeight="1">
      <c r="A5" t="inlineStr">
        <is>
          <t>A 10795-2025</t>
        </is>
      </c>
      <c r="B5" s="1" t="n">
        <v>45722</v>
      </c>
      <c r="C5" s="1" t="n">
        <v>45760</v>
      </c>
      <c r="D5" t="inlineStr">
        <is>
          <t>VÄRMLANDS LÄN</t>
        </is>
      </c>
      <c r="E5" t="inlineStr">
        <is>
          <t>HAMMARÖ</t>
        </is>
      </c>
      <c r="G5" t="n">
        <v>0.7</v>
      </c>
      <c r="H5" t="n">
        <v>1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Nordfladdermus
Guldkremla</t>
        </is>
      </c>
      <c r="S5">
        <f>HYPERLINK("https://klasma.github.io/Logging_171761/artfynd/A 10795-2025 artfynd.xlsx", "A 10795-2025")</f>
        <v/>
      </c>
      <c r="T5">
        <f>HYPERLINK("https://klasma.github.io/Logging_171761/kartor/A 10795-2025 karta.png", "A 10795-2025")</f>
        <v/>
      </c>
      <c r="V5">
        <f>HYPERLINK("https://klasma.github.io/Logging_171761/klagomål/A 10795-2025 FSC-klagomål.docx", "A 10795-2025")</f>
        <v/>
      </c>
      <c r="W5">
        <f>HYPERLINK("https://klasma.github.io/Logging_171761/klagomålsmail/A 10795-2025 FSC-klagomål mail.docx", "A 10795-2025")</f>
        <v/>
      </c>
      <c r="X5">
        <f>HYPERLINK("https://klasma.github.io/Logging_171761/tillsyn/A 10795-2025 tillsynsbegäran.docx", "A 10795-2025")</f>
        <v/>
      </c>
      <c r="Y5">
        <f>HYPERLINK("https://klasma.github.io/Logging_171761/tillsynsmail/A 10795-2025 tillsynsbegäran mail.docx", "A 10795-2025")</f>
        <v/>
      </c>
    </row>
    <row r="6" ht="15" customHeight="1">
      <c r="A6" t="inlineStr">
        <is>
          <t>A 54326-2020</t>
        </is>
      </c>
      <c r="B6" s="1" t="n">
        <v>44126</v>
      </c>
      <c r="C6" s="1" t="n">
        <v>45760</v>
      </c>
      <c r="D6" t="inlineStr">
        <is>
          <t>VÄRMLANDS LÄN</t>
        </is>
      </c>
      <c r="E6" t="inlineStr">
        <is>
          <t>HAMMARÖ</t>
        </is>
      </c>
      <c r="G6" t="n">
        <v>0.7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Törnskata</t>
        </is>
      </c>
      <c r="S6">
        <f>HYPERLINK("https://klasma.github.io/Logging_1761/artfynd/A 54326-2020 artfynd.xlsx", "A 54326-2020")</f>
        <v/>
      </c>
      <c r="T6">
        <f>HYPERLINK("https://klasma.github.io/Logging_1761/kartor/A 54326-2020 karta.png", "A 54326-2020")</f>
        <v/>
      </c>
      <c r="V6">
        <f>HYPERLINK("https://klasma.github.io/Logging_1761/klagomål/A 54326-2020 FSC-klagomål.docx", "A 54326-2020")</f>
        <v/>
      </c>
      <c r="W6">
        <f>HYPERLINK("https://klasma.github.io/Logging_1761/klagomålsmail/A 54326-2020 FSC-klagomål mail.docx", "A 54326-2020")</f>
        <v/>
      </c>
      <c r="X6">
        <f>HYPERLINK("https://klasma.github.io/Logging_1761/tillsyn/A 54326-2020 tillsynsbegäran.docx", "A 54326-2020")</f>
        <v/>
      </c>
      <c r="Y6">
        <f>HYPERLINK("https://klasma.github.io/Logging_1761/tillsynsmail/A 54326-2020 tillsynsbegäran mail.docx", "A 54326-2020")</f>
        <v/>
      </c>
      <c r="Z6">
        <f>HYPERLINK("https://klasma.github.io/Logging_1761/fåglar/A 54326-2020 prioriterade fågelarter.docx", "A 54326-2020")</f>
        <v/>
      </c>
    </row>
    <row r="7" ht="15" customHeight="1">
      <c r="A7" t="inlineStr">
        <is>
          <t>A 24618-2022</t>
        </is>
      </c>
      <c r="B7" s="1" t="n">
        <v>44727</v>
      </c>
      <c r="C7" s="1" t="n">
        <v>45760</v>
      </c>
      <c r="D7" t="inlineStr">
        <is>
          <t>VÄRMLANDS LÄN</t>
        </is>
      </c>
      <c r="E7" t="inlineStr">
        <is>
          <t>HAMMARÖ</t>
        </is>
      </c>
      <c r="F7" t="inlineStr">
        <is>
          <t>Kommuner</t>
        </is>
      </c>
      <c r="G7" t="n">
        <v>4.6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HYPERLINK("https://klasma.github.io/Logging_1761/artfynd/A 24618-2022 artfynd.xlsx", "A 24618-2022")</f>
        <v/>
      </c>
      <c r="T7">
        <f>HYPERLINK("https://klasma.github.io/Logging_1761/kartor/A 24618-2022 karta.png", "A 24618-2022")</f>
        <v/>
      </c>
      <c r="U7">
        <f>HYPERLINK("https://klasma.github.io/Logging_1761/knärot/A 24618-2022 karta knärot.png", "A 24618-2022")</f>
        <v/>
      </c>
      <c r="V7">
        <f>HYPERLINK("https://klasma.github.io/Logging_1761/klagomål/A 24618-2022 FSC-klagomål.docx", "A 24618-2022")</f>
        <v/>
      </c>
      <c r="W7">
        <f>HYPERLINK("https://klasma.github.io/Logging_1761/klagomålsmail/A 24618-2022 FSC-klagomål mail.docx", "A 24618-2022")</f>
        <v/>
      </c>
      <c r="X7">
        <f>HYPERLINK("https://klasma.github.io/Logging_1761/tillsyn/A 24618-2022 tillsynsbegäran.docx", "A 24618-2022")</f>
        <v/>
      </c>
      <c r="Y7">
        <f>HYPERLINK("https://klasma.github.io/Logging_1761/tillsynsmail/A 24618-2022 tillsynsbegäran mail.docx", "A 24618-2022")</f>
        <v/>
      </c>
    </row>
    <row r="8" ht="15" customHeight="1">
      <c r="A8" t="inlineStr">
        <is>
          <t>A 41803-2023</t>
        </is>
      </c>
      <c r="B8" s="1" t="n">
        <v>45176</v>
      </c>
      <c r="C8" s="1" t="n">
        <v>45760</v>
      </c>
      <c r="D8" t="inlineStr">
        <is>
          <t>VÄRMLANDS LÄN</t>
        </is>
      </c>
      <c r="E8" t="inlineStr">
        <is>
          <t>HAMMARÖ</t>
        </is>
      </c>
      <c r="F8" t="inlineStr">
        <is>
          <t>Övriga Aktiebolag</t>
        </is>
      </c>
      <c r="G8" t="n">
        <v>1.2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Spillkråka</t>
        </is>
      </c>
      <c r="S8">
        <f>HYPERLINK("https://klasma.github.io/Logging_1761/artfynd/A 41803-2023 artfynd.xlsx", "A 41803-2023")</f>
        <v/>
      </c>
      <c r="T8">
        <f>HYPERLINK("https://klasma.github.io/Logging_1761/kartor/A 41803-2023 karta.png", "A 41803-2023")</f>
        <v/>
      </c>
      <c r="V8">
        <f>HYPERLINK("https://klasma.github.io/Logging_1761/klagomål/A 41803-2023 FSC-klagomål.docx", "A 41803-2023")</f>
        <v/>
      </c>
      <c r="W8">
        <f>HYPERLINK("https://klasma.github.io/Logging_1761/klagomålsmail/A 41803-2023 FSC-klagomål mail.docx", "A 41803-2023")</f>
        <v/>
      </c>
      <c r="X8">
        <f>HYPERLINK("https://klasma.github.io/Logging_1761/tillsyn/A 41803-2023 tillsynsbegäran.docx", "A 41803-2023")</f>
        <v/>
      </c>
      <c r="Y8">
        <f>HYPERLINK("https://klasma.github.io/Logging_1761/tillsynsmail/A 41803-2023 tillsynsbegäran mail.docx", "A 41803-2023")</f>
        <v/>
      </c>
      <c r="Z8">
        <f>HYPERLINK("https://klasma.github.io/Logging_1761/fåglar/A 41803-2023 prioriterade fågelarter.docx", "A 41803-2023")</f>
        <v/>
      </c>
    </row>
    <row r="9" ht="15" customHeight="1">
      <c r="A9" t="inlineStr">
        <is>
          <t>A 42303-2023</t>
        </is>
      </c>
      <c r="B9" s="1" t="n">
        <v>45180</v>
      </c>
      <c r="C9" s="1" t="n">
        <v>45760</v>
      </c>
      <c r="D9" t="inlineStr">
        <is>
          <t>VÄRMLANDS LÄN</t>
        </is>
      </c>
      <c r="E9" t="inlineStr">
        <is>
          <t>HAMMARÖ</t>
        </is>
      </c>
      <c r="G9" t="n">
        <v>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Mindre flugsnappare</t>
        </is>
      </c>
      <c r="S9">
        <f>HYPERLINK("https://klasma.github.io/Logging_1761/artfynd/A 42303-2023 artfynd.xlsx", "A 42303-2023")</f>
        <v/>
      </c>
      <c r="T9">
        <f>HYPERLINK("https://klasma.github.io/Logging_1761/kartor/A 42303-2023 karta.png", "A 42303-2023")</f>
        <v/>
      </c>
      <c r="V9">
        <f>HYPERLINK("https://klasma.github.io/Logging_1761/klagomål/A 42303-2023 FSC-klagomål.docx", "A 42303-2023")</f>
        <v/>
      </c>
      <c r="W9">
        <f>HYPERLINK("https://klasma.github.io/Logging_1761/klagomålsmail/A 42303-2023 FSC-klagomål mail.docx", "A 42303-2023")</f>
        <v/>
      </c>
      <c r="X9">
        <f>HYPERLINK("https://klasma.github.io/Logging_1761/tillsyn/A 42303-2023 tillsynsbegäran.docx", "A 42303-2023")</f>
        <v/>
      </c>
      <c r="Y9">
        <f>HYPERLINK("https://klasma.github.io/Logging_1761/tillsynsmail/A 42303-2023 tillsynsbegäran mail.docx", "A 42303-2023")</f>
        <v/>
      </c>
      <c r="Z9">
        <f>HYPERLINK("https://klasma.github.io/Logging_1761/fåglar/A 42303-2023 prioriterade fågelarter.docx", "A 42303-2023")</f>
        <v/>
      </c>
    </row>
    <row r="10" ht="15" customHeight="1">
      <c r="A10" t="inlineStr">
        <is>
          <t>A 42337-2023</t>
        </is>
      </c>
      <c r="B10" s="1" t="n">
        <v>45180</v>
      </c>
      <c r="C10" s="1" t="n">
        <v>45760</v>
      </c>
      <c r="D10" t="inlineStr">
        <is>
          <t>VÄRMLANDS LÄN</t>
        </is>
      </c>
      <c r="E10" t="inlineStr">
        <is>
          <t>HAMMARÖ</t>
        </is>
      </c>
      <c r="F10" t="inlineStr">
        <is>
          <t>Övriga Aktiebolag</t>
        </is>
      </c>
      <c r="G10" t="n">
        <v>9.6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Mindre flugsnappare</t>
        </is>
      </c>
      <c r="S10">
        <f>HYPERLINK("https://klasma.github.io/Logging_1761/artfynd/A 42337-2023 artfynd.xlsx", "A 42337-2023")</f>
        <v/>
      </c>
      <c r="T10">
        <f>HYPERLINK("https://klasma.github.io/Logging_1761/kartor/A 42337-2023 karta.png", "A 42337-2023")</f>
        <v/>
      </c>
      <c r="V10">
        <f>HYPERLINK("https://klasma.github.io/Logging_1761/klagomål/A 42337-2023 FSC-klagomål.docx", "A 42337-2023")</f>
        <v/>
      </c>
      <c r="W10">
        <f>HYPERLINK("https://klasma.github.io/Logging_1761/klagomålsmail/A 42337-2023 FSC-klagomål mail.docx", "A 42337-2023")</f>
        <v/>
      </c>
      <c r="X10">
        <f>HYPERLINK("https://klasma.github.io/Logging_1761/tillsyn/A 42337-2023 tillsynsbegäran.docx", "A 42337-2023")</f>
        <v/>
      </c>
      <c r="Y10">
        <f>HYPERLINK("https://klasma.github.io/Logging_1761/tillsynsmail/A 42337-2023 tillsynsbegäran mail.docx", "A 42337-2023")</f>
        <v/>
      </c>
      <c r="Z10">
        <f>HYPERLINK("https://klasma.github.io/Logging_1761/fåglar/A 42337-2023 prioriterade fågelarter.docx", "A 42337-2023")</f>
        <v/>
      </c>
    </row>
    <row r="11" ht="15" customHeight="1">
      <c r="A11" t="inlineStr">
        <is>
          <t>A 53276-2023</t>
        </is>
      </c>
      <c r="B11" s="1" t="n">
        <v>45229</v>
      </c>
      <c r="C11" s="1" t="n">
        <v>45760</v>
      </c>
      <c r="D11" t="inlineStr">
        <is>
          <t>VÄRMLANDS LÄN</t>
        </is>
      </c>
      <c r="E11" t="inlineStr">
        <is>
          <t>HAMMARÖ</t>
        </is>
      </c>
      <c r="F11" t="inlineStr">
        <is>
          <t>Övriga Aktiebolag</t>
        </is>
      </c>
      <c r="G11" t="n">
        <v>0.3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Mindre flugsnappare</t>
        </is>
      </c>
      <c r="S11">
        <f>HYPERLINK("https://klasma.github.io/Logging_1761/artfynd/A 53276-2023 artfynd.xlsx", "A 53276-2023")</f>
        <v/>
      </c>
      <c r="T11">
        <f>HYPERLINK("https://klasma.github.io/Logging_1761/kartor/A 53276-2023 karta.png", "A 53276-2023")</f>
        <v/>
      </c>
      <c r="V11">
        <f>HYPERLINK("https://klasma.github.io/Logging_1761/klagomål/A 53276-2023 FSC-klagomål.docx", "A 53276-2023")</f>
        <v/>
      </c>
      <c r="W11">
        <f>HYPERLINK("https://klasma.github.io/Logging_1761/klagomålsmail/A 53276-2023 FSC-klagomål mail.docx", "A 53276-2023")</f>
        <v/>
      </c>
      <c r="X11">
        <f>HYPERLINK("https://klasma.github.io/Logging_1761/tillsyn/A 53276-2023 tillsynsbegäran.docx", "A 53276-2023")</f>
        <v/>
      </c>
      <c r="Y11">
        <f>HYPERLINK("https://klasma.github.io/Logging_1761/tillsynsmail/A 53276-2023 tillsynsbegäran mail.docx", "A 53276-2023")</f>
        <v/>
      </c>
      <c r="Z11">
        <f>HYPERLINK("https://klasma.github.io/Logging_1761/fåglar/A 53276-2023 prioriterade fågelarter.docx", "A 53276-2023")</f>
        <v/>
      </c>
    </row>
    <row r="12" ht="15" customHeight="1">
      <c r="A12" t="inlineStr">
        <is>
          <t>A 55068-2023</t>
        </is>
      </c>
      <c r="B12" s="1" t="n">
        <v>45237</v>
      </c>
      <c r="C12" s="1" t="n">
        <v>45760</v>
      </c>
      <c r="D12" t="inlineStr">
        <is>
          <t>VÄRMLANDS LÄN</t>
        </is>
      </c>
      <c r="E12" t="inlineStr">
        <is>
          <t>HAMMARÖ</t>
        </is>
      </c>
      <c r="F12" t="inlineStr">
        <is>
          <t>Kommuner</t>
        </is>
      </c>
      <c r="G12" t="n">
        <v>2.4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Motaggsvamp</t>
        </is>
      </c>
      <c r="S12">
        <f>HYPERLINK("https://klasma.github.io/Logging_1761/artfynd/A 55068-2023 artfynd.xlsx", "A 55068-2023")</f>
        <v/>
      </c>
      <c r="T12">
        <f>HYPERLINK("https://klasma.github.io/Logging_1761/kartor/A 55068-2023 karta.png", "A 55068-2023")</f>
        <v/>
      </c>
      <c r="V12">
        <f>HYPERLINK("https://klasma.github.io/Logging_1761/klagomål/A 55068-2023 FSC-klagomål.docx", "A 55068-2023")</f>
        <v/>
      </c>
      <c r="W12">
        <f>HYPERLINK("https://klasma.github.io/Logging_1761/klagomålsmail/A 55068-2023 FSC-klagomål mail.docx", "A 55068-2023")</f>
        <v/>
      </c>
      <c r="X12">
        <f>HYPERLINK("https://klasma.github.io/Logging_1761/tillsyn/A 55068-2023 tillsynsbegäran.docx", "A 55068-2023")</f>
        <v/>
      </c>
      <c r="Y12">
        <f>HYPERLINK("https://klasma.github.io/Logging_1761/tillsynsmail/A 55068-2023 tillsynsbegäran mail.docx", "A 55068-2023")</f>
        <v/>
      </c>
    </row>
    <row r="13" ht="15" customHeight="1">
      <c r="A13" t="inlineStr">
        <is>
          <t>A 7593-2025</t>
        </is>
      </c>
      <c r="B13" s="1" t="n">
        <v>45705</v>
      </c>
      <c r="C13" s="1" t="n">
        <v>45760</v>
      </c>
      <c r="D13" t="inlineStr">
        <is>
          <t>VÄRMLANDS LÄN</t>
        </is>
      </c>
      <c r="E13" t="inlineStr">
        <is>
          <t>HAMMARÖ</t>
        </is>
      </c>
      <c r="G13" t="n">
        <v>1.3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Trollpipistrell</t>
        </is>
      </c>
      <c r="S13">
        <f>HYPERLINK("https://klasma.github.io/Logging_1761/artfynd/A 7593-2025 artfynd.xlsx", "A 7593-2025")</f>
        <v/>
      </c>
      <c r="T13">
        <f>HYPERLINK("https://klasma.github.io/Logging_1761/kartor/A 7593-2025 karta.png", "A 7593-2025")</f>
        <v/>
      </c>
      <c r="V13">
        <f>HYPERLINK("https://klasma.github.io/Logging_1761/klagomål/A 7593-2025 FSC-klagomål.docx", "A 7593-2025")</f>
        <v/>
      </c>
      <c r="W13">
        <f>HYPERLINK("https://klasma.github.io/Logging_1761/klagomålsmail/A 7593-2025 FSC-klagomål mail.docx", "A 7593-2025")</f>
        <v/>
      </c>
      <c r="X13">
        <f>HYPERLINK("https://klasma.github.io/Logging_1761/tillsyn/A 7593-2025 tillsynsbegäran.docx", "A 7593-2025")</f>
        <v/>
      </c>
      <c r="Y13">
        <f>HYPERLINK("https://klasma.github.io/Logging_1761/tillsynsmail/A 7593-2025 tillsynsbegäran mail.docx", "A 7593-2025")</f>
        <v/>
      </c>
    </row>
    <row r="14" ht="15" customHeight="1">
      <c r="A14" t="inlineStr">
        <is>
          <t>A 23183-2020</t>
        </is>
      </c>
      <c r="B14" s="1" t="n">
        <v>43966</v>
      </c>
      <c r="C14" s="1" t="n">
        <v>45760</v>
      </c>
      <c r="D14" t="inlineStr">
        <is>
          <t>VÄRMLANDS LÄN</t>
        </is>
      </c>
      <c r="E14" t="inlineStr">
        <is>
          <t>HAMMARÖ</t>
        </is>
      </c>
      <c r="F14" t="inlineStr">
        <is>
          <t>Övriga Aktiebolag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62456-2020</t>
        </is>
      </c>
      <c r="B15" s="1" t="n">
        <v>44160</v>
      </c>
      <c r="C15" s="1" t="n">
        <v>45760</v>
      </c>
      <c r="D15" t="inlineStr">
        <is>
          <t>VÄRMLANDS LÄN</t>
        </is>
      </c>
      <c r="E15" t="inlineStr">
        <is>
          <t>HAMMARÖ</t>
        </is>
      </c>
      <c r="F15" t="inlineStr">
        <is>
          <t>Kommuner</t>
        </is>
      </c>
      <c r="G15" t="n">
        <v>0.4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62608-2020</t>
        </is>
      </c>
      <c r="B16" s="1" t="n">
        <v>44161</v>
      </c>
      <c r="C16" s="1" t="n">
        <v>45760</v>
      </c>
      <c r="D16" t="inlineStr">
        <is>
          <t>VÄRMLANDS LÄN</t>
        </is>
      </c>
      <c r="E16" t="inlineStr">
        <is>
          <t>HAMMARÖ</t>
        </is>
      </c>
      <c r="F16" t="inlineStr">
        <is>
          <t>Kommuner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5072-2021</t>
        </is>
      </c>
      <c r="B17" s="1" t="n">
        <v>44228</v>
      </c>
      <c r="C17" s="1" t="n">
        <v>45760</v>
      </c>
      <c r="D17" t="inlineStr">
        <is>
          <t>VÄRMLANDS LÄN</t>
        </is>
      </c>
      <c r="E17" t="inlineStr">
        <is>
          <t>HAMMARÖ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  <c r="U17">
        <f>HYPERLINK("https://klasma.github.io/Logging_1761/knärot/A 5072-2021 karta knärot.png", "A 5072-2021")</f>
        <v/>
      </c>
      <c r="V17">
        <f>HYPERLINK("https://klasma.github.io/Logging_1761/klagomål/A 5072-2021 FSC-klagomål.docx", "A 5072-2021")</f>
        <v/>
      </c>
      <c r="W17">
        <f>HYPERLINK("https://klasma.github.io/Logging_1761/klagomålsmail/A 5072-2021 FSC-klagomål mail.docx", "A 5072-2021")</f>
        <v/>
      </c>
      <c r="X17">
        <f>HYPERLINK("https://klasma.github.io/Logging_1761/tillsyn/A 5072-2021 tillsynsbegäran.docx", "A 5072-2021")</f>
        <v/>
      </c>
      <c r="Y17">
        <f>HYPERLINK("https://klasma.github.io/Logging_1761/tillsynsmail/A 5072-2021 tillsynsbegäran mail.docx", "A 5072-2021")</f>
        <v/>
      </c>
    </row>
    <row r="18" ht="15" customHeight="1">
      <c r="A18" t="inlineStr">
        <is>
          <t>A 16890-2021</t>
        </is>
      </c>
      <c r="B18" s="1" t="n">
        <v>44295</v>
      </c>
      <c r="C18" s="1" t="n">
        <v>45760</v>
      </c>
      <c r="D18" t="inlineStr">
        <is>
          <t>VÄRMLANDS LÄN</t>
        </is>
      </c>
      <c r="E18" t="inlineStr">
        <is>
          <t>HAMMARÖ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20755-2021</t>
        </is>
      </c>
      <c r="B19" s="1" t="n">
        <v>44316</v>
      </c>
      <c r="C19" s="1" t="n">
        <v>45760</v>
      </c>
      <c r="D19" t="inlineStr">
        <is>
          <t>VÄRMLANDS LÄN</t>
        </is>
      </c>
      <c r="E19" t="inlineStr">
        <is>
          <t>HAMMARÖ</t>
        </is>
      </c>
      <c r="G19" t="n">
        <v>16.8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43631-2021</t>
        </is>
      </c>
      <c r="B20" s="1" t="n">
        <v>44433</v>
      </c>
      <c r="C20" s="1" t="n">
        <v>45760</v>
      </c>
      <c r="D20" t="inlineStr">
        <is>
          <t>VÄRMLANDS LÄN</t>
        </is>
      </c>
      <c r="E20" t="inlineStr">
        <is>
          <t>HAMMARÖ</t>
        </is>
      </c>
      <c r="F20" t="inlineStr">
        <is>
          <t>Kommuner</t>
        </is>
      </c>
      <c r="G20" t="n">
        <v>0.2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56835-2021</t>
        </is>
      </c>
      <c r="B21" s="1" t="n">
        <v>44481</v>
      </c>
      <c r="C21" s="1" t="n">
        <v>45760</v>
      </c>
      <c r="D21" t="inlineStr">
        <is>
          <t>VÄRMLANDS LÄN</t>
        </is>
      </c>
      <c r="E21" t="inlineStr">
        <is>
          <t>HAMMARÖ</t>
        </is>
      </c>
      <c r="F21" t="inlineStr">
        <is>
          <t>Kommuner</t>
        </is>
      </c>
      <c r="G21" t="n">
        <v>18.8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13354-2022</t>
        </is>
      </c>
      <c r="B22" s="1" t="n">
        <v>44645</v>
      </c>
      <c r="C22" s="1" t="n">
        <v>45760</v>
      </c>
      <c r="D22" t="inlineStr">
        <is>
          <t>VÄRMLANDS LÄN</t>
        </is>
      </c>
      <c r="E22" t="inlineStr">
        <is>
          <t>HAMMARÖ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13356-2022</t>
        </is>
      </c>
      <c r="B23" s="1" t="n">
        <v>44645</v>
      </c>
      <c r="C23" s="1" t="n">
        <v>45760</v>
      </c>
      <c r="D23" t="inlineStr">
        <is>
          <t>VÄRMLANDS LÄN</t>
        </is>
      </c>
      <c r="E23" t="inlineStr">
        <is>
          <t>HAMMARÖ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56799-2022</t>
        </is>
      </c>
      <c r="B24" s="1" t="n">
        <v>44894</v>
      </c>
      <c r="C24" s="1" t="n">
        <v>45760</v>
      </c>
      <c r="D24" t="inlineStr">
        <is>
          <t>VÄRMLANDS LÄN</t>
        </is>
      </c>
      <c r="E24" t="inlineStr">
        <is>
          <t>HAMMARÖ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2769-2023</t>
        </is>
      </c>
      <c r="B25" s="1" t="n">
        <v>44944</v>
      </c>
      <c r="C25" s="1" t="n">
        <v>45760</v>
      </c>
      <c r="D25" t="inlineStr">
        <is>
          <t>VÄRMLANDS LÄN</t>
        </is>
      </c>
      <c r="E25" t="inlineStr">
        <is>
          <t>HAMMARÖ</t>
        </is>
      </c>
      <c r="G25" t="n">
        <v>8.699999999999999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41897-2023</t>
        </is>
      </c>
      <c r="B26" s="1" t="n">
        <v>45176</v>
      </c>
      <c r="C26" s="1" t="n">
        <v>45760</v>
      </c>
      <c r="D26" t="inlineStr">
        <is>
          <t>VÄRMLANDS LÄN</t>
        </is>
      </c>
      <c r="E26" t="inlineStr">
        <is>
          <t>HAMMARÖ</t>
        </is>
      </c>
      <c r="F26" t="inlineStr">
        <is>
          <t>Övriga Aktiebolag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41892-2023</t>
        </is>
      </c>
      <c r="B27" s="1" t="n">
        <v>45176</v>
      </c>
      <c r="C27" s="1" t="n">
        <v>45760</v>
      </c>
      <c r="D27" t="inlineStr">
        <is>
          <t>VÄRMLANDS LÄN</t>
        </is>
      </c>
      <c r="E27" t="inlineStr">
        <is>
          <t>HAMMARÖ</t>
        </is>
      </c>
      <c r="F27" t="inlineStr">
        <is>
          <t>Övriga Aktiebolag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41891-2023</t>
        </is>
      </c>
      <c r="B28" s="1" t="n">
        <v>45176</v>
      </c>
      <c r="C28" s="1" t="n">
        <v>45760</v>
      </c>
      <c r="D28" t="inlineStr">
        <is>
          <t>VÄRMLANDS LÄN</t>
        </is>
      </c>
      <c r="E28" t="inlineStr">
        <is>
          <t>HAMMARÖ</t>
        </is>
      </c>
      <c r="F28" t="inlineStr">
        <is>
          <t>Övriga Aktiebolag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41895-2023</t>
        </is>
      </c>
      <c r="B29" s="1" t="n">
        <v>45176</v>
      </c>
      <c r="C29" s="1" t="n">
        <v>45760</v>
      </c>
      <c r="D29" t="inlineStr">
        <is>
          <t>VÄRMLANDS LÄN</t>
        </is>
      </c>
      <c r="E29" t="inlineStr">
        <is>
          <t>HAMMARÖ</t>
        </is>
      </c>
      <c r="F29" t="inlineStr">
        <is>
          <t>Övriga Aktiebolag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41899-2023</t>
        </is>
      </c>
      <c r="B30" s="1" t="n">
        <v>45176</v>
      </c>
      <c r="C30" s="1" t="n">
        <v>45760</v>
      </c>
      <c r="D30" t="inlineStr">
        <is>
          <t>VÄRMLANDS LÄN</t>
        </is>
      </c>
      <c r="E30" t="inlineStr">
        <is>
          <t>HAMMARÖ</t>
        </is>
      </c>
      <c r="F30" t="inlineStr">
        <is>
          <t>Övriga Aktiebolag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42339-2023</t>
        </is>
      </c>
      <c r="B31" s="1" t="n">
        <v>45180</v>
      </c>
      <c r="C31" s="1" t="n">
        <v>45760</v>
      </c>
      <c r="D31" t="inlineStr">
        <is>
          <t>VÄRMLANDS LÄN</t>
        </is>
      </c>
      <c r="E31" t="inlineStr">
        <is>
          <t>HAMMARÖ</t>
        </is>
      </c>
      <c r="F31" t="inlineStr">
        <is>
          <t>Övriga Aktiebolag</t>
        </is>
      </c>
      <c r="G31" t="n">
        <v>4.3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42344-2023</t>
        </is>
      </c>
      <c r="B32" s="1" t="n">
        <v>45180</v>
      </c>
      <c r="C32" s="1" t="n">
        <v>45760</v>
      </c>
      <c r="D32" t="inlineStr">
        <is>
          <t>VÄRMLANDS LÄN</t>
        </is>
      </c>
      <c r="E32" t="inlineStr">
        <is>
          <t>HAMMARÖ</t>
        </is>
      </c>
      <c r="F32" t="inlineStr">
        <is>
          <t>Övriga Aktiebolag</t>
        </is>
      </c>
      <c r="G32" t="n">
        <v>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42957-2023</t>
        </is>
      </c>
      <c r="B33" s="1" t="n">
        <v>45182</v>
      </c>
      <c r="C33" s="1" t="n">
        <v>45760</v>
      </c>
      <c r="D33" t="inlineStr">
        <is>
          <t>VÄRMLANDS LÄN</t>
        </is>
      </c>
      <c r="E33" t="inlineStr">
        <is>
          <t>HAMMARÖ</t>
        </is>
      </c>
      <c r="F33" t="inlineStr">
        <is>
          <t>Övriga Aktiebolag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42951-2023</t>
        </is>
      </c>
      <c r="B34" s="1" t="n">
        <v>45182</v>
      </c>
      <c r="C34" s="1" t="n">
        <v>45760</v>
      </c>
      <c r="D34" t="inlineStr">
        <is>
          <t>VÄRMLANDS LÄN</t>
        </is>
      </c>
      <c r="E34" t="inlineStr">
        <is>
          <t>HAMMARÖ</t>
        </is>
      </c>
      <c r="F34" t="inlineStr">
        <is>
          <t>Övriga Aktiebolag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42955-2023</t>
        </is>
      </c>
      <c r="B35" s="1" t="n">
        <v>45182</v>
      </c>
      <c r="C35" s="1" t="n">
        <v>45760</v>
      </c>
      <c r="D35" t="inlineStr">
        <is>
          <t>VÄRMLANDS LÄN</t>
        </is>
      </c>
      <c r="E35" t="inlineStr">
        <is>
          <t>HAMMARÖ</t>
        </is>
      </c>
      <c r="F35" t="inlineStr">
        <is>
          <t>Övriga Aktiebolag</t>
        </is>
      </c>
      <c r="G35" t="n">
        <v>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42960-2023</t>
        </is>
      </c>
      <c r="B36" s="1" t="n">
        <v>45182</v>
      </c>
      <c r="C36" s="1" t="n">
        <v>45760</v>
      </c>
      <c r="D36" t="inlineStr">
        <is>
          <t>VÄRMLANDS LÄN</t>
        </is>
      </c>
      <c r="E36" t="inlineStr">
        <is>
          <t>HAMMARÖ</t>
        </is>
      </c>
      <c r="F36" t="inlineStr">
        <is>
          <t>Övriga Aktiebolag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47008-2023</t>
        </is>
      </c>
      <c r="B37" s="1" t="n">
        <v>45201</v>
      </c>
      <c r="C37" s="1" t="n">
        <v>45760</v>
      </c>
      <c r="D37" t="inlineStr">
        <is>
          <t>VÄRMLANDS LÄN</t>
        </is>
      </c>
      <c r="E37" t="inlineStr">
        <is>
          <t>HAMMARÖ</t>
        </is>
      </c>
      <c r="F37" t="inlineStr">
        <is>
          <t>Kommuner</t>
        </is>
      </c>
      <c r="G37" t="n">
        <v>3.3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46982-2023</t>
        </is>
      </c>
      <c r="B38" s="1" t="n">
        <v>45201</v>
      </c>
      <c r="C38" s="1" t="n">
        <v>45760</v>
      </c>
      <c r="D38" t="inlineStr">
        <is>
          <t>VÄRMLANDS LÄN</t>
        </is>
      </c>
      <c r="E38" t="inlineStr">
        <is>
          <t>HAMMARÖ</t>
        </is>
      </c>
      <c r="F38" t="inlineStr">
        <is>
          <t>Kommuner</t>
        </is>
      </c>
      <c r="G38" t="n">
        <v>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51008-2023</t>
        </is>
      </c>
      <c r="B39" s="1" t="n">
        <v>45218</v>
      </c>
      <c r="C39" s="1" t="n">
        <v>45760</v>
      </c>
      <c r="D39" t="inlineStr">
        <is>
          <t>VÄRMLANDS LÄN</t>
        </is>
      </c>
      <c r="E39" t="inlineStr">
        <is>
          <t>HAMMARÖ</t>
        </is>
      </c>
      <c r="F39" t="inlineStr">
        <is>
          <t>Kommuner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53288-2023</t>
        </is>
      </c>
      <c r="B40" s="1" t="n">
        <v>45229</v>
      </c>
      <c r="C40" s="1" t="n">
        <v>45760</v>
      </c>
      <c r="D40" t="inlineStr">
        <is>
          <t>VÄRMLANDS LÄN</t>
        </is>
      </c>
      <c r="E40" t="inlineStr">
        <is>
          <t>HAMMARÖ</t>
        </is>
      </c>
      <c r="F40" t="inlineStr">
        <is>
          <t>Övriga Aktiebolag</t>
        </is>
      </c>
      <c r="G40" t="n">
        <v>0.1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55066-2023</t>
        </is>
      </c>
      <c r="B41" s="1" t="n">
        <v>45237</v>
      </c>
      <c r="C41" s="1" t="n">
        <v>45760</v>
      </c>
      <c r="D41" t="inlineStr">
        <is>
          <t>VÄRMLANDS LÄN</t>
        </is>
      </c>
      <c r="E41" t="inlineStr">
        <is>
          <t>HAMMARÖ</t>
        </is>
      </c>
      <c r="F41" t="inlineStr">
        <is>
          <t>Kommuner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55069-2023</t>
        </is>
      </c>
      <c r="B42" s="1" t="n">
        <v>45237</v>
      </c>
      <c r="C42" s="1" t="n">
        <v>45760</v>
      </c>
      <c r="D42" t="inlineStr">
        <is>
          <t>VÄRMLANDS LÄN</t>
        </is>
      </c>
      <c r="E42" t="inlineStr">
        <is>
          <t>HAMMARÖ</t>
        </is>
      </c>
      <c r="F42" t="inlineStr">
        <is>
          <t>Kommuner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57896-2023</t>
        </is>
      </c>
      <c r="B43" s="1" t="n">
        <v>45247</v>
      </c>
      <c r="C43" s="1" t="n">
        <v>45760</v>
      </c>
      <c r="D43" t="inlineStr">
        <is>
          <t>VÄRMLANDS LÄN</t>
        </is>
      </c>
      <c r="E43" t="inlineStr">
        <is>
          <t>HAMMARÖ</t>
        </is>
      </c>
      <c r="F43" t="inlineStr">
        <is>
          <t>Kommuner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57893-2023</t>
        </is>
      </c>
      <c r="B44" s="1" t="n">
        <v>45247</v>
      </c>
      <c r="C44" s="1" t="n">
        <v>45760</v>
      </c>
      <c r="D44" t="inlineStr">
        <is>
          <t>VÄRMLANDS LÄN</t>
        </is>
      </c>
      <c r="E44" t="inlineStr">
        <is>
          <t>HAMMARÖ</t>
        </is>
      </c>
      <c r="F44" t="inlineStr">
        <is>
          <t>Kommuner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37934-2024</t>
        </is>
      </c>
      <c r="B45" s="1" t="n">
        <v>45544</v>
      </c>
      <c r="C45" s="1" t="n">
        <v>45760</v>
      </c>
      <c r="D45" t="inlineStr">
        <is>
          <t>VÄRMLANDS LÄN</t>
        </is>
      </c>
      <c r="E45" t="inlineStr">
        <is>
          <t>HAMMARÖ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53369-2024</t>
        </is>
      </c>
      <c r="B46" s="1" t="n">
        <v>45614</v>
      </c>
      <c r="C46" s="1" t="n">
        <v>45760</v>
      </c>
      <c r="D46" t="inlineStr">
        <is>
          <t>VÄRMLANDS LÄN</t>
        </is>
      </c>
      <c r="E46" t="inlineStr">
        <is>
          <t>HAMMARÖ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58383-2024</t>
        </is>
      </c>
      <c r="B47" s="1" t="n">
        <v>45632</v>
      </c>
      <c r="C47" s="1" t="n">
        <v>45760</v>
      </c>
      <c r="D47" t="inlineStr">
        <is>
          <t>VÄRMLANDS LÄN</t>
        </is>
      </c>
      <c r="E47" t="inlineStr">
        <is>
          <t>HAMMARÖ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58382-2024</t>
        </is>
      </c>
      <c r="B48" s="1" t="n">
        <v>45632</v>
      </c>
      <c r="C48" s="1" t="n">
        <v>45760</v>
      </c>
      <c r="D48" t="inlineStr">
        <is>
          <t>VÄRMLANDS LÄN</t>
        </is>
      </c>
      <c r="E48" t="inlineStr">
        <is>
          <t>HAMMARÖ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793-2025</t>
        </is>
      </c>
      <c r="B49" s="1" t="n">
        <v>45665</v>
      </c>
      <c r="C49" s="1" t="n">
        <v>45760</v>
      </c>
      <c r="D49" t="inlineStr">
        <is>
          <t>VÄRMLANDS LÄN</t>
        </is>
      </c>
      <c r="E49" t="inlineStr">
        <is>
          <t>HAMMARÖ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3661-2025</t>
        </is>
      </c>
      <c r="B50" s="1" t="n">
        <v>45681</v>
      </c>
      <c r="C50" s="1" t="n">
        <v>45760</v>
      </c>
      <c r="D50" t="inlineStr">
        <is>
          <t>VÄRMLANDS LÄN</t>
        </is>
      </c>
      <c r="E50" t="inlineStr">
        <is>
          <t>HAMMARÖ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>
      <c r="A51" t="inlineStr">
        <is>
          <t>A 10793-2025</t>
        </is>
      </c>
      <c r="B51" s="1" t="n">
        <v>45722</v>
      </c>
      <c r="C51" s="1" t="n">
        <v>45760</v>
      </c>
      <c r="D51" t="inlineStr">
        <is>
          <t>VÄRMLANDS LÄN</t>
        </is>
      </c>
      <c r="E51" t="inlineStr">
        <is>
          <t>HAMMARÖ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2025-04-13T17:09:22Z</dcterms:created>
  <dcterms:modified xmlns:dcterms="http://purl.org/dc/terms/" xmlns:xsi="http://www.w3.org/2001/XMLSchema-instance" xsi:type="dcterms:W3CDTF">2025-04-13T17:09:22Z</dcterms:modified>
</cp:coreProperties>
</file>