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46194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Långskägg
Knärot
Motaggsvamp
Tjäder
Kungsfågel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3573-2026</t>
        </is>
      </c>
      <c r="B4" s="1" t="n">
        <v>46042</v>
      </c>
      <c r="C4" s="1" t="n">
        <v>46194</v>
      </c>
      <c r="D4" t="inlineStr">
        <is>
          <t>VÄRMLANDS LÄN</t>
        </is>
      </c>
      <c r="E4" t="inlineStr">
        <is>
          <t>HAMMARÖ</t>
        </is>
      </c>
      <c r="G4" t="n">
        <v>4.3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Jättesvampmal
Åkergroda
Vanlig groda
Vanlig padda</t>
        </is>
      </c>
      <c r="S4">
        <f>HYPERLINK("https://klasma.github.io/Logging_1761/artfynd/A 3573-2026 artfynd.xlsx", "A 3573-2026")</f>
        <v/>
      </c>
      <c r="T4">
        <f>HYPERLINK("https://klasma.github.io/Logging_1761/kartor/A 3573-2026 karta.png", "A 3573-2026")</f>
        <v/>
      </c>
      <c r="U4">
        <f>HYPERLINK("https://klasma.github.io/Logging_1761/knärot/A 3573-2026 karta knärot.png", "A 3573-2026")</f>
        <v/>
      </c>
      <c r="V4">
        <f>HYPERLINK("https://klasma.github.io/Logging_1761/klagomål/A 3573-2026 FSC-klagomål.docx", "A 3573-2026")</f>
        <v/>
      </c>
      <c r="W4">
        <f>HYPERLINK("https://klasma.github.io/Logging_1761/klagomålsmail/A 3573-2026 FSC-klagomål mail.docx", "A 3573-2026")</f>
        <v/>
      </c>
      <c r="X4">
        <f>HYPERLINK("https://klasma.github.io/Logging_1761/tillsyn/A 3573-2026 tillsynsbegäran.docx", "A 3573-2026")</f>
        <v/>
      </c>
      <c r="Y4">
        <f>HYPERLINK("https://klasma.github.io/Logging_1761/tillsynsmail/A 3573-2026 tillsynsbegäran mail.docx", "A 3573-2026")</f>
        <v/>
      </c>
    </row>
    <row r="5" ht="15" customHeight="1">
      <c r="A5" t="inlineStr">
        <is>
          <t>A 61380-2023</t>
        </is>
      </c>
      <c r="B5" s="1" t="n">
        <v>45264</v>
      </c>
      <c r="C5" s="1" t="n">
        <v>46194</v>
      </c>
      <c r="D5" t="inlineStr">
        <is>
          <t>VÄRMLANDS LÄN</t>
        </is>
      </c>
      <c r="E5" t="inlineStr">
        <is>
          <t>HAMMARÖ</t>
        </is>
      </c>
      <c r="G5" t="n">
        <v>3.3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Blå taggsvamp
Gropticka
Motaggsvamp
Gullgröppa</t>
        </is>
      </c>
      <c r="S5">
        <f>HYPERLINK("https://klasma.github.io/Logging_1761/artfynd/A 61380-2023 artfynd.xlsx", "A 61380-2023")</f>
        <v/>
      </c>
      <c r="T5">
        <f>HYPERLINK("https://klasma.github.io/Logging_1761/kartor/A 61380-2023 karta.png", "A 61380-2023")</f>
        <v/>
      </c>
      <c r="U5">
        <f>HYPERLINK("https://klasma.github.io/Logging_1761/knärot/A 61380-2023 karta knärot.png", "A 61380-2023")</f>
        <v/>
      </c>
      <c r="V5">
        <f>HYPERLINK("https://klasma.github.io/Logging_1761/klagomål/A 61380-2023 FSC-klagomål.docx", "A 61380-2023")</f>
        <v/>
      </c>
      <c r="W5">
        <f>HYPERLINK("https://klasma.github.io/Logging_1761/klagomålsmail/A 61380-2023 FSC-klagomål mail.docx", "A 61380-2023")</f>
        <v/>
      </c>
      <c r="X5">
        <f>HYPERLINK("https://klasma.github.io/Logging_1761/tillsyn/A 61380-2023 tillsynsbegäran.docx", "A 61380-2023")</f>
        <v/>
      </c>
      <c r="Y5">
        <f>HYPERLINK("https://klasma.github.io/Logging_1761/tillsynsmail/A 61380-2023 tillsynsbegäran mail.docx", "A 61380-2023")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46194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skogssnigel
Spillkråka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  <c r="Z6">
        <f>HYPERLINK("https://klasma.github.io/Logging_1761/fåglar/A 24618-2022 prioriterade fågelarter.docx", "A 24618-2022")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46194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Älg
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24616-2022</t>
        </is>
      </c>
      <c r="B8" s="1" t="n">
        <v>44727</v>
      </c>
      <c r="C8" s="1" t="n">
        <v>46194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Tretåig hackspett
Spillkråka</t>
        </is>
      </c>
      <c r="S8">
        <f>HYPERLINK("https://klasma.github.io/Logging_1761/artfynd/A 24616-2022 artfynd.xlsx", "A 24616-2022")</f>
        <v/>
      </c>
      <c r="T8">
        <f>HYPERLINK("https://klasma.github.io/Logging_1761/kartor/A 24616-2022 karta.png", "A 24616-2022")</f>
        <v/>
      </c>
      <c r="U8">
        <f>HYPERLINK("https://klasma.github.io/Logging_1761/knärot/A 24616-2022 karta knärot.png", "A 24616-2022")</f>
        <v/>
      </c>
      <c r="V8">
        <f>HYPERLINK("https://klasma.github.io/Logging_1761/klagomål/A 24616-2022 FSC-klagomål.docx", "A 24616-2022")</f>
        <v/>
      </c>
      <c r="W8">
        <f>HYPERLINK("https://klasma.github.io/Logging_1761/klagomålsmail/A 24616-2022 FSC-klagomål mail.docx", "A 24616-2022")</f>
        <v/>
      </c>
      <c r="X8">
        <f>HYPERLINK("https://klasma.github.io/Logging_1761/tillsyn/A 24616-2022 tillsynsbegäran.docx", "A 24616-2022")</f>
        <v/>
      </c>
      <c r="Y8">
        <f>HYPERLINK("https://klasma.github.io/Logging_1761/tillsynsmail/A 24616-2022 tillsynsbegäran mail.docx", "A 24616-2022")</f>
        <v/>
      </c>
      <c r="Z8">
        <f>HYPERLINK("https://klasma.github.io/Logging_1761/fåglar/A 24616-2022 prioriterade fågelarter.docx", "A 24616-2022")</f>
        <v/>
      </c>
    </row>
    <row r="9" ht="15" customHeight="1">
      <c r="A9" t="inlineStr">
        <is>
          <t>A 2769-2023</t>
        </is>
      </c>
      <c r="B9" s="1" t="n">
        <v>44944</v>
      </c>
      <c r="C9" s="1" t="n">
        <v>46194</v>
      </c>
      <c r="D9" t="inlineStr">
        <is>
          <t>VÄRMLANDS LÄN</t>
        </is>
      </c>
      <c r="E9" t="inlineStr">
        <is>
          <t>HAMMARÖ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2769-2023 artfynd.xlsx", "A 2769-2023")</f>
        <v/>
      </c>
      <c r="T9">
        <f>HYPERLINK("https://klasma.github.io/Logging_1761/kartor/A 2769-2023 karta.png", "A 2769-2023")</f>
        <v/>
      </c>
      <c r="V9">
        <f>HYPERLINK("https://klasma.github.io/Logging_1761/klagomål/A 2769-2023 FSC-klagomål.docx", "A 2769-2023")</f>
        <v/>
      </c>
      <c r="W9">
        <f>HYPERLINK("https://klasma.github.io/Logging_1761/klagomålsmail/A 2769-2023 FSC-klagomål mail.docx", "A 2769-2023")</f>
        <v/>
      </c>
      <c r="X9">
        <f>HYPERLINK("https://klasma.github.io/Logging_1761/tillsyn/A 2769-2023 tillsynsbegäran.docx", "A 2769-2023")</f>
        <v/>
      </c>
      <c r="Y9">
        <f>HYPERLINK("https://klasma.github.io/Logging_1761/tillsynsmail/A 2769-2023 tillsynsbegäran mail.docx", "A 2769-2023")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46194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46194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41899-2023</t>
        </is>
      </c>
      <c r="B12" s="1" t="n">
        <v>45176</v>
      </c>
      <c r="C12" s="1" t="n">
        <v>46194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Grönsiska</t>
        </is>
      </c>
      <c r="S12">
        <f>HYPERLINK("https://klasma.github.io/Logging_1761/artfynd/A 41899-2023 artfynd.xlsx", "A 41899-2023")</f>
        <v/>
      </c>
      <c r="T12">
        <f>HYPERLINK("https://klasma.github.io/Logging_1761/kartor/A 41899-2023 karta.png", "A 41899-2023")</f>
        <v/>
      </c>
      <c r="V12">
        <f>HYPERLINK("https://klasma.github.io/Logging_1761/klagomål/A 41899-2023 FSC-klagomål.docx", "A 41899-2023")</f>
        <v/>
      </c>
      <c r="W12">
        <f>HYPERLINK("https://klasma.github.io/Logging_1761/klagomålsmail/A 41899-2023 FSC-klagomål mail.docx", "A 41899-2023")</f>
        <v/>
      </c>
      <c r="X12">
        <f>HYPERLINK("https://klasma.github.io/Logging_1761/tillsyn/A 41899-2023 tillsynsbegäran.docx", "A 41899-2023")</f>
        <v/>
      </c>
      <c r="Y12">
        <f>HYPERLINK("https://klasma.github.io/Logging_1761/tillsynsmail/A 41899-2023 tillsynsbegäran mail.docx", "A 41899-2023")</f>
        <v/>
      </c>
      <c r="Z12">
        <f>HYPERLINK("https://klasma.github.io/Logging_1761/fåglar/A 41899-2023 prioriterade fågelarter.docx", "A 41899-2023")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46194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46194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55066-2023</t>
        </is>
      </c>
      <c r="B15" s="1" t="n">
        <v>45237</v>
      </c>
      <c r="C15" s="1" t="n">
        <v>46194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46194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51008-2023</t>
        </is>
      </c>
      <c r="B17" s="1" t="n">
        <v>45218</v>
      </c>
      <c r="C17" s="1" t="n">
        <v>46194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46194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46194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46194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46194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</v>
      </c>
      <c r="C22" s="1" t="n">
        <v>46194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46194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46194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46194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46194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46194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46194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46194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13354-2022</t>
        </is>
      </c>
      <c r="B30" s="1" t="n">
        <v>44645</v>
      </c>
      <c r="C30" s="1" t="n">
        <v>46194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2026-06-21T00:46:33Z</dcterms:created>
  <dcterms:modified xmlns:dcterms="http://purl.org/dc/terms/" xmlns:xsi="http://www.w3.org/2001/XMLSchema-instance" xsi:type="dcterms:W3CDTF">2026-06-21T00:46:33Z</dcterms:modified>
</cp:coreProperties>
</file>