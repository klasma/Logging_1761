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46307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46307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46307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53276-2023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45229</v>
      </c>
      <c r="E12" s="1" t="n">
        <v>46307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0.3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Vanlig groda</t>
        </is>
      </c>
      <c r="W12">
        <f>HYPERLINK("https://klasma.github.io/Logging_1761/artfynd/A 53276-2023 artfynd.xlsx", "A 53276-2023")</f>
        <v/>
      </c>
      <c r="X12">
        <f>HYPERLINK("https://klasma.github.io/Logging_1761/kartor/A 53276-2023 karta.png", "A 53276-2023")</f>
        <v/>
      </c>
      <c r="Y12">
        <f>HYPERLINK("https://klasma.github.io/Logging_1761/kartor_geotiff/A 53276-2023 georefererad karta.tif", "A 53276-2023")</f>
        <v/>
      </c>
      <c r="AA12">
        <f>HYPERLINK("https://klasma.github.io/Logging_1761/klagomål/A 53276-2023 FSC-klagomål.docx", "A 53276-2023")</f>
        <v/>
      </c>
      <c r="AB12">
        <f>HYPERLINK("https://klasma.github.io/Logging_1761/klagomålsmail/A 53276-2023 FSC-klagomål mail.docx", "A 53276-2023")</f>
        <v/>
      </c>
      <c r="AC12">
        <f>HYPERLINK("https://klasma.github.io/Logging_1761/tillsyn/A 53276-2023 tillsynsbegäran.docx", "A 53276-2023")</f>
        <v/>
      </c>
      <c r="AD12">
        <f>HYPERLINK("https://klasma.github.io/Logging_1761/tillsynsmail/A 53276-2023 tillsynsbegäran mail.docx", "A 53276-2023")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46307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46307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46307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2769-2023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44944</v>
      </c>
      <c r="E16" s="1" t="n">
        <v>46307</v>
      </c>
      <c r="F16" t="inlineStr">
        <is>
          <t>VÄRMLANDS LÄN</t>
        </is>
      </c>
      <c r="G16" t="inlineStr">
        <is>
          <t>HAMMARÖ</t>
        </is>
      </c>
      <c r="I16" t="n">
        <v>8.699999999999999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Motaggsvamp</t>
        </is>
      </c>
      <c r="W16">
        <f>HYPERLINK("https://klasma.github.io/Logging_1761/artfynd/A 2769-2023 artfynd.xlsx", "A 2769-2023")</f>
        <v/>
      </c>
      <c r="X16">
        <f>HYPERLINK("https://klasma.github.io/Logging_1761/kartor/A 2769-2023 karta.png", "A 2769-2023")</f>
        <v/>
      </c>
      <c r="Y16">
        <f>HYPERLINK("https://klasma.github.io/Logging_1761/kartor_geotiff/A 2769-2023 georefererad karta.tif", "A 2769-2023")</f>
        <v/>
      </c>
      <c r="AA16">
        <f>HYPERLINK("https://klasma.github.io/Logging_1761/klagomål/A 2769-2023 FSC-klagomål.docx", "A 2769-2023")</f>
        <v/>
      </c>
      <c r="AB16">
        <f>HYPERLINK("https://klasma.github.io/Logging_1761/klagomålsmail/A 2769-2023 FSC-klagomål mail.docx", "A 2769-2023")</f>
        <v/>
      </c>
      <c r="AC16">
        <f>HYPERLINK("https://klasma.github.io/Logging_1761/tillsyn/A 2769-2023 tillsynsbegäran.docx", "A 2769-2023")</f>
        <v/>
      </c>
      <c r="AD16">
        <f>HYPERLINK("https://klasma.github.io/Logging_1761/tillsynsmail/A 2769-2023 tillsynsbegäran mail.docx", "A 2769-2023")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46307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46307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46307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53369-2024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46307</v>
      </c>
      <c r="F21" t="inlineStr">
        <is>
          <t>VÄRMLANDS LÄN</t>
        </is>
      </c>
      <c r="G21" t="inlineStr">
        <is>
          <t>HAMMARÖ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45247</v>
      </c>
      <c r="E22" s="1" t="n">
        <v>46307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37934-2024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45544</v>
      </c>
      <c r="E23" s="1" t="n">
        <v>46307</v>
      </c>
      <c r="F23" t="inlineStr">
        <is>
          <t>VÄRMLANDS LÄN</t>
        </is>
      </c>
      <c r="G23" t="inlineStr">
        <is>
          <t>HAMMARÖ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46307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46307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46307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46307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46307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41895-2023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46307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46307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46307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46307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2026-10-12T01:58:41Z</dcterms:created>
  <dcterms:modified xmlns:dcterms="http://purl.org/dc/terms/" xmlns:xsi="http://www.w3.org/2001/XMLSchema-instance" xsi:type="dcterms:W3CDTF">2026-10-12T01:58:41Z</dcterms:modified>
</cp:coreProperties>
</file>