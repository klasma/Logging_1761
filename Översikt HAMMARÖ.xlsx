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24616-2022</t>
        </is>
      </c>
      <c r="B2" s="1" t="n">
        <v>44727</v>
      </c>
      <c r="C2" s="1" t="n">
        <v>45343</v>
      </c>
      <c r="D2" t="inlineStr">
        <is>
          <t>VÄRMLANDS LÄN</t>
        </is>
      </c>
      <c r="E2" t="inlineStr">
        <is>
          <t>HAMMARÖ</t>
        </is>
      </c>
      <c r="F2" t="inlineStr">
        <is>
          <t>Kommuner</t>
        </is>
      </c>
      <c r="G2" t="n">
        <v>4</v>
      </c>
      <c r="H2" t="n">
        <v>2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Knärot
Spillkråka</t>
        </is>
      </c>
      <c r="S2">
        <f>HYPERLINK("https://klasma.github.io/Logging_1761/artfynd/A 24616-2022 artfynd.xlsx", "A 24616-2022")</f>
        <v/>
      </c>
      <c r="T2">
        <f>HYPERLINK("https://klasma.github.io/Logging_1761/kartor/A 24616-2022 karta.png", "A 24616-2022")</f>
        <v/>
      </c>
      <c r="U2">
        <f>HYPERLINK("https://klasma.github.io/Logging_1761/knärot/A 24616-2022 karta knärot.png", "A 24616-2022")</f>
        <v/>
      </c>
      <c r="V2">
        <f>HYPERLINK("https://klasma.github.io/Logging_1761/klagomål/A 24616-2022 FSC-klagomål.docx", "A 24616-2022")</f>
        <v/>
      </c>
      <c r="W2">
        <f>HYPERLINK("https://klasma.github.io/Logging_1761/klagomålsmail/A 24616-2022 FSC-klagomål mail.docx", "A 24616-2022")</f>
        <v/>
      </c>
      <c r="X2">
        <f>HYPERLINK("https://klasma.github.io/Logging_1761/tillsyn/A 24616-2022 tillsynsbegäran.docx", "A 24616-2022")</f>
        <v/>
      </c>
      <c r="Y2">
        <f>HYPERLINK("https://klasma.github.io/Logging_1761/tillsynsmail/A 24616-2022 tillsynsbegäran mail.docx", "A 24616-2022")</f>
        <v/>
      </c>
      <c r="Z2">
        <f>HYPERLINK("https://klasma.github.io/Logging_1761/fåglar/A 24616-2022 prioriterade fågelarter.docx", "A 24616-2022")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45343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Gropticka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24618-2022</t>
        </is>
      </c>
      <c r="B4" s="1" t="n">
        <v>44727</v>
      </c>
      <c r="C4" s="1" t="n">
        <v>45343</v>
      </c>
      <c r="D4" t="inlineStr">
        <is>
          <t>VÄRMLANDS LÄN</t>
        </is>
      </c>
      <c r="E4" t="inlineStr">
        <is>
          <t>HAMMARÖ</t>
        </is>
      </c>
      <c r="F4" t="inlineStr">
        <is>
          <t>Kommuner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HYPERLINK("https://klasma.github.io/Logging_1761/artfynd/A 24618-2022 artfynd.xlsx", "A 24618-2022")</f>
        <v/>
      </c>
      <c r="T4">
        <f>HYPERLINK("https://klasma.github.io/Logging_1761/kartor/A 24618-2022 karta.png", "A 24618-2022")</f>
        <v/>
      </c>
      <c r="U4">
        <f>HYPERLINK("https://klasma.github.io/Logging_1761/knärot/A 24618-2022 karta knärot.png", "A 24618-2022")</f>
        <v/>
      </c>
      <c r="V4">
        <f>HYPERLINK("https://klasma.github.io/Logging_1761/klagomål/A 24618-2022 FSC-klagomål.docx", "A 24618-2022")</f>
        <v/>
      </c>
      <c r="W4">
        <f>HYPERLINK("https://klasma.github.io/Logging_1761/klagomålsmail/A 24618-2022 FSC-klagomål mail.docx", "A 24618-2022")</f>
        <v/>
      </c>
      <c r="X4">
        <f>HYPERLINK("https://klasma.github.io/Logging_1761/tillsyn/A 24618-2022 tillsynsbegäran.docx", "A 24618-2022")</f>
        <v/>
      </c>
      <c r="Y4">
        <f>HYPERLINK("https://klasma.github.io/Logging_1761/tillsynsmail/A 24618-2022 tillsynsbegäran mail.docx", "A 24618-2022")</f>
        <v/>
      </c>
    </row>
    <row r="5" ht="15" customHeight="1">
      <c r="A5" t="inlineStr">
        <is>
          <t>A 55068-2023</t>
        </is>
      </c>
      <c r="B5" s="1" t="n">
        <v>45237</v>
      </c>
      <c r="C5" s="1" t="n">
        <v>45343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2.4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Motaggsvamp</t>
        </is>
      </c>
      <c r="S5">
        <f>HYPERLINK("https://klasma.github.io/Logging_1761/artfynd/A 55068-2023 artfynd.xlsx", "A 55068-2023")</f>
        <v/>
      </c>
      <c r="T5">
        <f>HYPERLINK("https://klasma.github.io/Logging_1761/kartor/A 55068-2023 karta.png", "A 55068-2023")</f>
        <v/>
      </c>
      <c r="V5">
        <f>HYPERLINK("https://klasma.github.io/Logging_1761/klagomål/A 55068-2023 FSC-klagomål.docx", "A 55068-2023")</f>
        <v/>
      </c>
      <c r="W5">
        <f>HYPERLINK("https://klasma.github.io/Logging_1761/klagomålsmail/A 55068-2023 FSC-klagomål mail.docx", "A 55068-2023")</f>
        <v/>
      </c>
      <c r="X5">
        <f>HYPERLINK("https://klasma.github.io/Logging_1761/tillsyn/A 55068-2023 tillsynsbegäran.docx", "A 55068-2023")</f>
        <v/>
      </c>
      <c r="Y5">
        <f>HYPERLINK("https://klasma.github.io/Logging_1761/tillsynsmail/A 55068-2023 tillsynsbegäran mail.docx", "A 55068-2023")</f>
        <v/>
      </c>
    </row>
    <row r="6" ht="15" customHeight="1">
      <c r="A6" t="inlineStr">
        <is>
          <t>A 60674-2018</t>
        </is>
      </c>
      <c r="B6" s="1" t="n">
        <v>43409</v>
      </c>
      <c r="C6" s="1" t="n">
        <v>45343</v>
      </c>
      <c r="D6" t="inlineStr">
        <is>
          <t>VÄRMLANDS LÄN</t>
        </is>
      </c>
      <c r="E6" t="inlineStr">
        <is>
          <t>HAMMARÖ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67502-2018</t>
        </is>
      </c>
      <c r="B7" s="1" t="n">
        <v>43439</v>
      </c>
      <c r="C7" s="1" t="n">
        <v>45343</v>
      </c>
      <c r="D7" t="inlineStr">
        <is>
          <t>VÄRMLANDS LÄN</t>
        </is>
      </c>
      <c r="E7" t="inlineStr">
        <is>
          <t>HAMMARÖ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23183-2020</t>
        </is>
      </c>
      <c r="B8" s="1" t="n">
        <v>43966</v>
      </c>
      <c r="C8" s="1" t="n">
        <v>45343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54326-2020</t>
        </is>
      </c>
      <c r="B9" s="1" t="n">
        <v>44126</v>
      </c>
      <c r="C9" s="1" t="n">
        <v>45343</v>
      </c>
      <c r="D9" t="inlineStr">
        <is>
          <t>VÄRMLANDS LÄN</t>
        </is>
      </c>
      <c r="E9" t="inlineStr">
        <is>
          <t>HAMMARÖ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62456-2020</t>
        </is>
      </c>
      <c r="B10" s="1" t="n">
        <v>44160</v>
      </c>
      <c r="C10" s="1" t="n">
        <v>45343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62608-2020</t>
        </is>
      </c>
      <c r="B11" s="1" t="n">
        <v>44161</v>
      </c>
      <c r="C11" s="1" t="n">
        <v>45343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5072-2021</t>
        </is>
      </c>
      <c r="B12" s="1" t="n">
        <v>44228</v>
      </c>
      <c r="C12" s="1" t="n">
        <v>45343</v>
      </c>
      <c r="D12" t="inlineStr">
        <is>
          <t>VÄRMLANDS LÄN</t>
        </is>
      </c>
      <c r="E12" t="inlineStr">
        <is>
          <t>HAMMARÖ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16890-2021</t>
        </is>
      </c>
      <c r="B13" s="1" t="n">
        <v>44295</v>
      </c>
      <c r="C13" s="1" t="n">
        <v>45343</v>
      </c>
      <c r="D13" t="inlineStr">
        <is>
          <t>VÄRMLANDS LÄN</t>
        </is>
      </c>
      <c r="E13" t="inlineStr">
        <is>
          <t>HAMMARÖ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20755-2021</t>
        </is>
      </c>
      <c r="B14" s="1" t="n">
        <v>44316</v>
      </c>
      <c r="C14" s="1" t="n">
        <v>45343</v>
      </c>
      <c r="D14" t="inlineStr">
        <is>
          <t>VÄRMLANDS LÄN</t>
        </is>
      </c>
      <c r="E14" t="inlineStr">
        <is>
          <t>HAMMARÖ</t>
        </is>
      </c>
      <c r="G14" t="n">
        <v>16.8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43631-2021</t>
        </is>
      </c>
      <c r="B15" s="1" t="n">
        <v>44433</v>
      </c>
      <c r="C15" s="1" t="n">
        <v>45343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56835-2021</t>
        </is>
      </c>
      <c r="B16" s="1" t="n">
        <v>44481</v>
      </c>
      <c r="C16" s="1" t="n">
        <v>45343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18.8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68622-2021</t>
        </is>
      </c>
      <c r="B17" s="1" t="n">
        <v>44529</v>
      </c>
      <c r="C17" s="1" t="n">
        <v>45343</v>
      </c>
      <c r="D17" t="inlineStr">
        <is>
          <t>VÄRMLANDS LÄN</t>
        </is>
      </c>
      <c r="E17" t="inlineStr">
        <is>
          <t>HAMMARÖ</t>
        </is>
      </c>
      <c r="G17" t="n">
        <v>9.699999999999999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13354-2022</t>
        </is>
      </c>
      <c r="B18" s="1" t="n">
        <v>44645</v>
      </c>
      <c r="C18" s="1" t="n">
        <v>45343</v>
      </c>
      <c r="D18" t="inlineStr">
        <is>
          <t>VÄRMLANDS LÄN</t>
        </is>
      </c>
      <c r="E18" t="inlineStr">
        <is>
          <t>HAMMARÖ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13356-2022</t>
        </is>
      </c>
      <c r="B19" s="1" t="n">
        <v>44645</v>
      </c>
      <c r="C19" s="1" t="n">
        <v>45343</v>
      </c>
      <c r="D19" t="inlineStr">
        <is>
          <t>VÄRMLANDS LÄN</t>
        </is>
      </c>
      <c r="E19" t="inlineStr">
        <is>
          <t>HAMMARÖ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56799-2022</t>
        </is>
      </c>
      <c r="B20" s="1" t="n">
        <v>44894</v>
      </c>
      <c r="C20" s="1" t="n">
        <v>45343</v>
      </c>
      <c r="D20" t="inlineStr">
        <is>
          <t>VÄRMLANDS LÄN</t>
        </is>
      </c>
      <c r="E20" t="inlineStr">
        <is>
          <t>HAMMARÖ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2769-2023</t>
        </is>
      </c>
      <c r="B21" s="1" t="n">
        <v>44944</v>
      </c>
      <c r="C21" s="1" t="n">
        <v>45343</v>
      </c>
      <c r="D21" t="inlineStr">
        <is>
          <t>VÄRMLANDS LÄN</t>
        </is>
      </c>
      <c r="E21" t="inlineStr">
        <is>
          <t>HAMMARÖ</t>
        </is>
      </c>
      <c r="G21" t="n">
        <v>8.699999999999999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41897-2023</t>
        </is>
      </c>
      <c r="B22" s="1" t="n">
        <v>45176</v>
      </c>
      <c r="C22" s="1" t="n">
        <v>45343</v>
      </c>
      <c r="D22" t="inlineStr">
        <is>
          <t>VÄRMLANDS LÄN</t>
        </is>
      </c>
      <c r="E22" t="inlineStr">
        <is>
          <t>HAMMARÖ</t>
        </is>
      </c>
      <c r="F22" t="inlineStr">
        <is>
          <t>Övriga Aktiebolag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41803-2023</t>
        </is>
      </c>
      <c r="B23" s="1" t="n">
        <v>45176</v>
      </c>
      <c r="C23" s="1" t="n">
        <v>45343</v>
      </c>
      <c r="D23" t="inlineStr">
        <is>
          <t>VÄRMLANDS LÄN</t>
        </is>
      </c>
      <c r="E23" t="inlineStr">
        <is>
          <t>HAMMARÖ</t>
        </is>
      </c>
      <c r="F23" t="inlineStr">
        <is>
          <t>Övriga Aktiebolag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41892-2023</t>
        </is>
      </c>
      <c r="B24" s="1" t="n">
        <v>45176</v>
      </c>
      <c r="C24" s="1" t="n">
        <v>45343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41891-2023</t>
        </is>
      </c>
      <c r="B25" s="1" t="n">
        <v>45176</v>
      </c>
      <c r="C25" s="1" t="n">
        <v>45343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41895-2023</t>
        </is>
      </c>
      <c r="B26" s="1" t="n">
        <v>45176</v>
      </c>
      <c r="C26" s="1" t="n">
        <v>45343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41899-2023</t>
        </is>
      </c>
      <c r="B27" s="1" t="n">
        <v>45176</v>
      </c>
      <c r="C27" s="1" t="n">
        <v>45343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42303-2023</t>
        </is>
      </c>
      <c r="B28" s="1" t="n">
        <v>45180</v>
      </c>
      <c r="C28" s="1" t="n">
        <v>45343</v>
      </c>
      <c r="D28" t="inlineStr">
        <is>
          <t>VÄRMLANDS LÄN</t>
        </is>
      </c>
      <c r="E28" t="inlineStr">
        <is>
          <t>HAMMARÖ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42337-2023</t>
        </is>
      </c>
      <c r="B29" s="1" t="n">
        <v>45180</v>
      </c>
      <c r="C29" s="1" t="n">
        <v>45343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9.6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42339-2023</t>
        </is>
      </c>
      <c r="B30" s="1" t="n">
        <v>45180</v>
      </c>
      <c r="C30" s="1" t="n">
        <v>45343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42344-2023</t>
        </is>
      </c>
      <c r="B31" s="1" t="n">
        <v>45180</v>
      </c>
      <c r="C31" s="1" t="n">
        <v>45343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42957-2023</t>
        </is>
      </c>
      <c r="B32" s="1" t="n">
        <v>45182</v>
      </c>
      <c r="C32" s="1" t="n">
        <v>45343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42951-2023</t>
        </is>
      </c>
      <c r="B33" s="1" t="n">
        <v>45182</v>
      </c>
      <c r="C33" s="1" t="n">
        <v>45343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42955-2023</t>
        </is>
      </c>
      <c r="B34" s="1" t="n">
        <v>45182</v>
      </c>
      <c r="C34" s="1" t="n">
        <v>45343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42960-2023</t>
        </is>
      </c>
      <c r="B35" s="1" t="n">
        <v>45182</v>
      </c>
      <c r="C35" s="1" t="n">
        <v>45343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47008-2023</t>
        </is>
      </c>
      <c r="B36" s="1" t="n">
        <v>45201</v>
      </c>
      <c r="C36" s="1" t="n">
        <v>45343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46982-2023</t>
        </is>
      </c>
      <c r="B37" s="1" t="n">
        <v>45201</v>
      </c>
      <c r="C37" s="1" t="n">
        <v>45343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51008-2023</t>
        </is>
      </c>
      <c r="B38" s="1" t="n">
        <v>45218</v>
      </c>
      <c r="C38" s="1" t="n">
        <v>45343</v>
      </c>
      <c r="D38" t="inlineStr">
        <is>
          <t>VÄRMLANDS LÄN</t>
        </is>
      </c>
      <c r="E38" t="inlineStr">
        <is>
          <t>HAMMARÖ</t>
        </is>
      </c>
      <c r="F38" t="inlineStr">
        <is>
          <t>Kommuner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53288-2023</t>
        </is>
      </c>
      <c r="B39" s="1" t="n">
        <v>45229</v>
      </c>
      <c r="C39" s="1" t="n">
        <v>45343</v>
      </c>
      <c r="D39" t="inlineStr">
        <is>
          <t>VÄRMLANDS LÄN</t>
        </is>
      </c>
      <c r="E39" t="inlineStr">
        <is>
          <t>HAMMARÖ</t>
        </is>
      </c>
      <c r="F39" t="inlineStr">
        <is>
          <t>Övriga Aktiebolag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53276-2023</t>
        </is>
      </c>
      <c r="B40" s="1" t="n">
        <v>45229</v>
      </c>
      <c r="C40" s="1" t="n">
        <v>45343</v>
      </c>
      <c r="D40" t="inlineStr">
        <is>
          <t>VÄRMLANDS LÄN</t>
        </is>
      </c>
      <c r="E40" t="inlineStr">
        <is>
          <t>HAMMARÖ</t>
        </is>
      </c>
      <c r="F40" t="inlineStr">
        <is>
          <t>Övriga Aktiebolag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55066-2023</t>
        </is>
      </c>
      <c r="B41" s="1" t="n">
        <v>45237</v>
      </c>
      <c r="C41" s="1" t="n">
        <v>45343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55069-2023</t>
        </is>
      </c>
      <c r="B42" s="1" t="n">
        <v>45237</v>
      </c>
      <c r="C42" s="1" t="n">
        <v>45343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57896-2023</t>
        </is>
      </c>
      <c r="B43" s="1" t="n">
        <v>45247</v>
      </c>
      <c r="C43" s="1" t="n">
        <v>45343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>
      <c r="A44" t="inlineStr">
        <is>
          <t>A 57893-2023</t>
        </is>
      </c>
      <c r="B44" s="1" t="n">
        <v>45247</v>
      </c>
      <c r="C44" s="1" t="n">
        <v>45343</v>
      </c>
      <c r="D44" t="inlineStr">
        <is>
          <t>VÄRMLANDS LÄN</t>
        </is>
      </c>
      <c r="E44" t="inlineStr">
        <is>
          <t>HAMMARÖ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2024-02-21T07:01:53Z</dcterms:created>
  <dcterms:modified xmlns:dcterms="http://purl.org/dc/terms/" xmlns:xsi="http://www.w3.org/2001/XMLSchema-instance" xsi:type="dcterms:W3CDTF">2024-02-21T07:01:53Z</dcterms:modified>
</cp:coreProperties>
</file>