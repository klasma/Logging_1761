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46204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46204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46204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46204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46204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Tretåig hackspett
Spillkråka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46204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Svart skogssnigel
Spillkråka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  <c r="Z7">
        <f>HYPERLINK("https://klasma.github.io/Logging_1761/fåglar/A 24618-2022 prioriterade fågelarter.docx", "A 24618-2022")</f>
        <v/>
      </c>
    </row>
    <row r="8" ht="15" customHeight="1">
      <c r="A8" t="inlineStr">
        <is>
          <t>A 41899-2023</t>
        </is>
      </c>
      <c r="B8" s="1" t="n">
        <v>45176</v>
      </c>
      <c r="C8" s="1" t="n">
        <v>46204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Grönsiska</t>
        </is>
      </c>
      <c r="S8">
        <f>HYPERLINK("https://klasma.github.io/Logging_1761/artfynd/A 41899-2023 artfynd.xlsx", "A 41899-2023")</f>
        <v/>
      </c>
      <c r="T8">
        <f>HYPERLINK("https://klasma.github.io/Logging_1761/kartor/A 41899-2023 karta.png", "A 41899-2023")</f>
        <v/>
      </c>
      <c r="V8">
        <f>HYPERLINK("https://klasma.github.io/Logging_1761/klagomål/A 41899-2023 FSC-klagomål.docx", "A 41899-2023")</f>
        <v/>
      </c>
      <c r="W8">
        <f>HYPERLINK("https://klasma.github.io/Logging_1761/klagomålsmail/A 41899-2023 FSC-klagomål mail.docx", "A 41899-2023")</f>
        <v/>
      </c>
      <c r="X8">
        <f>HYPERLINK("https://klasma.github.io/Logging_1761/tillsyn/A 41899-2023 tillsynsbegäran.docx", "A 41899-2023")</f>
        <v/>
      </c>
      <c r="Y8">
        <f>HYPERLINK("https://klasma.github.io/Logging_1761/tillsynsmail/A 41899-2023 tillsynsbegäran mail.docx", "A 41899-2023")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46204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46204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</row>
    <row r="11" ht="15" customHeight="1">
      <c r="A11" t="inlineStr">
        <is>
          <t>A 2769-2023</t>
        </is>
      </c>
      <c r="B11" s="1" t="n">
        <v>44944</v>
      </c>
      <c r="C11" s="1" t="n">
        <v>46204</v>
      </c>
      <c r="D11" t="inlineStr">
        <is>
          <t>VÄRMLANDS LÄN</t>
        </is>
      </c>
      <c r="E11" t="inlineStr">
        <is>
          <t>HAMMARÖ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2769-2023 artfynd.xlsx", "A 2769-2023")</f>
        <v/>
      </c>
      <c r="T11">
        <f>HYPERLINK("https://klasma.github.io/Logging_1761/kartor/A 2769-2023 karta.png", "A 2769-2023")</f>
        <v/>
      </c>
      <c r="V11">
        <f>HYPERLINK("https://klasma.github.io/Logging_1761/klagomål/A 2769-2023 FSC-klagomål.docx", "A 2769-2023")</f>
        <v/>
      </c>
      <c r="W11">
        <f>HYPERLINK("https://klasma.github.io/Logging_1761/klagomålsmail/A 2769-2023 FSC-klagomål mail.docx", "A 2769-2023")</f>
        <v/>
      </c>
      <c r="X11">
        <f>HYPERLINK("https://klasma.github.io/Logging_1761/tillsyn/A 2769-2023 tillsynsbegäran.docx", "A 2769-2023")</f>
        <v/>
      </c>
      <c r="Y11">
        <f>HYPERLINK("https://klasma.github.io/Logging_1761/tillsynsmail/A 2769-2023 tillsynsbegäran mail.docx", "A 2769-2023")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46204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46204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42957-2023</t>
        </is>
      </c>
      <c r="B14" s="1" t="n">
        <v>45182</v>
      </c>
      <c r="C14" s="1" t="n">
        <v>46204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</v>
      </c>
      <c r="C15" s="1" t="n">
        <v>46204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55066-2023</t>
        </is>
      </c>
      <c r="B16" s="1" t="n">
        <v>45237</v>
      </c>
      <c r="C16" s="1" t="n">
        <v>46204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46204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46204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42955-2023</t>
        </is>
      </c>
      <c r="B19" s="1" t="n">
        <v>45182</v>
      </c>
      <c r="C19" s="1" t="n">
        <v>46204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42960-2023</t>
        </is>
      </c>
      <c r="B20" s="1" t="n">
        <v>45182</v>
      </c>
      <c r="C20" s="1" t="n">
        <v>46204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46204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46204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46204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13354-2022</t>
        </is>
      </c>
      <c r="B24" s="1" t="n">
        <v>44645</v>
      </c>
      <c r="C24" s="1" t="n">
        <v>46204</v>
      </c>
      <c r="D24" t="inlineStr">
        <is>
          <t>VÄRMLANDS LÄN</t>
        </is>
      </c>
      <c r="E24" t="inlineStr">
        <is>
          <t>HAMMARÖ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46204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</v>
      </c>
      <c r="C26" s="1" t="n">
        <v>46204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13356-2022</t>
        </is>
      </c>
      <c r="B27" s="1" t="n">
        <v>44645</v>
      </c>
      <c r="C27" s="1" t="n">
        <v>46204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42951-2023</t>
        </is>
      </c>
      <c r="B28" s="1" t="n">
        <v>45182</v>
      </c>
      <c r="C28" s="1" t="n">
        <v>46204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57893-2023</t>
        </is>
      </c>
      <c r="B29" s="1" t="n">
        <v>45247</v>
      </c>
      <c r="C29" s="1" t="n">
        <v>46204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2026-07-01T00:59:41Z</dcterms:created>
  <dcterms:modified xmlns:dcterms="http://purl.org/dc/terms/" xmlns:xsi="http://www.w3.org/2001/XMLSchema-instance" xsi:type="dcterms:W3CDTF">2026-07-01T00:59:41Z</dcterms:modified>
</cp:coreProperties>
</file>