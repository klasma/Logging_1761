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46038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46038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46038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46038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46038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46038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46038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46038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46038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7593-2025</t>
        </is>
      </c>
      <c r="B11" s="1" t="n">
        <v>45705</v>
      </c>
      <c r="C11" s="1" t="n">
        <v>46038</v>
      </c>
      <c r="D11" t="inlineStr">
        <is>
          <t>VÄRMLANDS LÄN</t>
        </is>
      </c>
      <c r="E11" t="inlineStr">
        <is>
          <t>HAMMARÖ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Trollpipistrell</t>
        </is>
      </c>
      <c r="S11">
        <f>HYPERLINK("https://klasma.github.io/Logging_1761/artfynd/A 7593-2025 artfynd.xlsx", "A 7593-2025")</f>
        <v/>
      </c>
      <c r="T11">
        <f>HYPERLINK("https://klasma.github.io/Logging_1761/kartor/A 7593-2025 karta.png", "A 7593-2025")</f>
        <v/>
      </c>
      <c r="V11">
        <f>HYPERLINK("https://klasma.github.io/Logging_1761/klagomål/A 7593-2025 FSC-klagomål.docx", "A 7593-2025")</f>
        <v/>
      </c>
      <c r="W11">
        <f>HYPERLINK("https://klasma.github.io/Logging_1761/klagomålsmail/A 7593-2025 FSC-klagomål mail.docx", "A 7593-2025")</f>
        <v/>
      </c>
      <c r="X11">
        <f>HYPERLINK("https://klasma.github.io/Logging_1761/tillsyn/A 7593-2025 tillsynsbegäran.docx", "A 7593-2025")</f>
        <v/>
      </c>
      <c r="Y11">
        <f>HYPERLINK("https://klasma.github.io/Logging_1761/tillsynsmail/A 7593-2025 tillsynsbegäran mail.docx", "A 7593-2025")</f>
        <v/>
      </c>
    </row>
    <row r="12" ht="15" customHeight="1">
      <c r="A12" t="inlineStr">
        <is>
          <t>A 45407-2025</t>
        </is>
      </c>
      <c r="B12" s="1" t="n">
        <v>45922</v>
      </c>
      <c r="C12" s="1" t="n">
        <v>46038</v>
      </c>
      <c r="D12" t="inlineStr">
        <is>
          <t>VÄRMLANDS LÄN</t>
        </is>
      </c>
      <c r="E12" t="inlineStr">
        <is>
          <t>HAMMARÖ</t>
        </is>
      </c>
      <c r="G12" t="n">
        <v>11.6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HYPERLINK("https://klasma.github.io/Logging_1761/artfynd/A 45407-2025 artfynd.xlsx", "A 45407-2025")</f>
        <v/>
      </c>
      <c r="T12">
        <f>HYPERLINK("https://klasma.github.io/Logging_1761/kartor/A 45407-2025 karta.png", "A 45407-2025")</f>
        <v/>
      </c>
      <c r="V12">
        <f>HYPERLINK("https://klasma.github.io/Logging_1761/klagomål/A 45407-2025 FSC-klagomål.docx", "A 45407-2025")</f>
        <v/>
      </c>
      <c r="W12">
        <f>HYPERLINK("https://klasma.github.io/Logging_1761/klagomålsmail/A 45407-2025 FSC-klagomål mail.docx", "A 45407-2025")</f>
        <v/>
      </c>
      <c r="X12">
        <f>HYPERLINK("https://klasma.github.io/Logging_1761/tillsyn/A 45407-2025 tillsynsbegäran.docx", "A 45407-2025")</f>
        <v/>
      </c>
      <c r="Y12">
        <f>HYPERLINK("https://klasma.github.io/Logging_1761/tillsynsmail/A 45407-2025 tillsynsbegäran mail.docx", "A 45407-2025")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46038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46038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46038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46038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46038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46038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53369-2024</t>
        </is>
      </c>
      <c r="B19" s="1" t="n">
        <v>45614</v>
      </c>
      <c r="C19" s="1" t="n">
        <v>46038</v>
      </c>
      <c r="D19" t="inlineStr">
        <is>
          <t>VÄRMLANDS LÄN</t>
        </is>
      </c>
      <c r="E19" t="inlineStr">
        <is>
          <t>HAMMARÖ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55066-2023</t>
        </is>
      </c>
      <c r="B20" s="1" t="n">
        <v>45237</v>
      </c>
      <c r="C20" s="1" t="n">
        <v>46038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46038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46038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46038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46038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46038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45423-2025</t>
        </is>
      </c>
      <c r="B26" s="1" t="n">
        <v>45922.45137731481</v>
      </c>
      <c r="C26" s="1" t="n">
        <v>46038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41661-2025</t>
        </is>
      </c>
      <c r="B27" s="1" t="n">
        <v>45902</v>
      </c>
      <c r="C27" s="1" t="n">
        <v>46038</v>
      </c>
      <c r="D27" t="inlineStr">
        <is>
          <t>VÄRMLANDS LÄN</t>
        </is>
      </c>
      <c r="E27" t="inlineStr">
        <is>
          <t>HAMMARÖ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51008-2023</t>
        </is>
      </c>
      <c r="B28" s="1" t="n">
        <v>45218</v>
      </c>
      <c r="C28" s="1" t="n">
        <v>46038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46038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46038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37934-2024</t>
        </is>
      </c>
      <c r="B31" s="1" t="n">
        <v>45544</v>
      </c>
      <c r="C31" s="1" t="n">
        <v>46038</v>
      </c>
      <c r="D31" t="inlineStr">
        <is>
          <t>VÄRMLANDS LÄN</t>
        </is>
      </c>
      <c r="E31" t="inlineStr">
        <is>
          <t>HAMMARÖ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56799-2022</t>
        </is>
      </c>
      <c r="B32" s="1" t="n">
        <v>44894.425625</v>
      </c>
      <c r="C32" s="1" t="n">
        <v>46038</v>
      </c>
      <c r="D32" t="inlineStr">
        <is>
          <t>VÄRMLANDS LÄN</t>
        </is>
      </c>
      <c r="E32" t="inlineStr">
        <is>
          <t>HAMMARÖ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13356-2022</t>
        </is>
      </c>
      <c r="B33" s="1" t="n">
        <v>44645</v>
      </c>
      <c r="C33" s="1" t="n">
        <v>46038</v>
      </c>
      <c r="D33" t="inlineStr">
        <is>
          <t>VÄRMLANDS LÄN</t>
        </is>
      </c>
      <c r="E33" t="inlineStr">
        <is>
          <t>HAMMARÖ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46038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57893-2023</t>
        </is>
      </c>
      <c r="B35" s="1" t="n">
        <v>45247</v>
      </c>
      <c r="C35" s="1" t="n">
        <v>46038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10793-2025</t>
        </is>
      </c>
      <c r="B36" s="1" t="n">
        <v>45722</v>
      </c>
      <c r="C36" s="1" t="n">
        <v>46038</v>
      </c>
      <c r="D36" t="inlineStr">
        <is>
          <t>VÄRMLANDS LÄN</t>
        </is>
      </c>
      <c r="E36" t="inlineStr">
        <is>
          <t>HAMMARÖ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2026-01-16T11:01:00Z</dcterms:created>
  <dcterms:modified xmlns:dcterms="http://purl.org/dc/terms/" xmlns:xsi="http://www.w3.org/2001/XMLSchema-instance" xsi:type="dcterms:W3CDTF">2026-01-16T11:01:00Z</dcterms:modified>
</cp:coreProperties>
</file>