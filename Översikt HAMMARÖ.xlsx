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46191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3573-2026</t>
        </is>
      </c>
      <c r="B3" s="1" t="n">
        <v>46042</v>
      </c>
      <c r="C3" s="1" t="n">
        <v>46191</v>
      </c>
      <c r="D3" t="inlineStr">
        <is>
          <t>VÄRMLANDS LÄN</t>
        </is>
      </c>
      <c r="E3" t="inlineStr">
        <is>
          <t>HAMMARÖ</t>
        </is>
      </c>
      <c r="G3" t="n">
        <v>4.3</v>
      </c>
      <c r="H3" t="n">
        <v>4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Jättesvampmal
Åkergroda
Vanlig groda
Vanlig padda</t>
        </is>
      </c>
      <c r="S3">
        <f>HYPERLINK("https://klasma.github.io/Logging_1761/artfynd/A 3573-2026 artfynd.xlsx", "A 3573-2026")</f>
        <v/>
      </c>
      <c r="T3">
        <f>HYPERLINK("https://klasma.github.io/Logging_1761/kartor/A 3573-2026 karta.png", "A 3573-2026")</f>
        <v/>
      </c>
      <c r="U3">
        <f>HYPERLINK("https://klasma.github.io/Logging_1761/knärot/A 3573-2026 karta knärot.png", "A 3573-2026")</f>
        <v/>
      </c>
      <c r="V3">
        <f>HYPERLINK("https://klasma.github.io/Logging_1761/klagomål/A 3573-2026 FSC-klagomål.docx", "A 3573-2026")</f>
        <v/>
      </c>
      <c r="W3">
        <f>HYPERLINK("https://klasma.github.io/Logging_1761/klagomålsmail/A 3573-2026 FSC-klagomål mail.docx", "A 3573-2026")</f>
        <v/>
      </c>
      <c r="X3">
        <f>HYPERLINK("https://klasma.github.io/Logging_1761/tillsyn/A 3573-2026 tillsynsbegäran.docx", "A 3573-2026")</f>
        <v/>
      </c>
      <c r="Y3">
        <f>HYPERLINK("https://klasma.github.io/Logging_1761/tillsynsmail/A 3573-2026 tillsynsbegäran mail.docx", "A 3573-2026")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46191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47571-2025</t>
        </is>
      </c>
      <c r="B5" s="1" t="n">
        <v>45931</v>
      </c>
      <c r="C5" s="1" t="n">
        <v>46191</v>
      </c>
      <c r="D5" t="inlineStr">
        <is>
          <t>VÄRMLANDS LÄN</t>
        </is>
      </c>
      <c r="E5" t="inlineStr">
        <is>
          <t>HAMMARÖ</t>
        </is>
      </c>
      <c r="G5" t="n">
        <v>8.300000000000001</v>
      </c>
      <c r="H5" t="n">
        <v>4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Långskägg
Knärot
Motaggsvamp
Tjäder
Kungsfågel</t>
        </is>
      </c>
      <c r="S5">
        <f>HYPERLINK("https://klasma.github.io/Logging_1761/artfynd/A 47571-2025 artfynd.xlsx", "A 47571-2025")</f>
        <v/>
      </c>
      <c r="T5">
        <f>HYPERLINK("https://klasma.github.io/Logging_1761/kartor/A 47571-2025 karta.png", "A 47571-2025")</f>
        <v/>
      </c>
      <c r="U5">
        <f>HYPERLINK("https://klasma.github.io/Logging_1761/knärot/A 47571-2025 karta knärot.png", "A 47571-2025")</f>
        <v/>
      </c>
      <c r="V5">
        <f>HYPERLINK("https://klasma.github.io/Logging_1761/klagomål/A 47571-2025 FSC-klagomål.docx", "A 47571-2025")</f>
        <v/>
      </c>
      <c r="W5">
        <f>HYPERLINK("https://klasma.github.io/Logging_1761/klagomålsmail/A 47571-2025 FSC-klagomål mail.docx", "A 47571-2025")</f>
        <v/>
      </c>
      <c r="X5">
        <f>HYPERLINK("https://klasma.github.io/Logging_1761/tillsyn/A 47571-2025 tillsynsbegäran.docx", "A 47571-2025")</f>
        <v/>
      </c>
      <c r="Y5">
        <f>HYPERLINK("https://klasma.github.io/Logging_1761/tillsynsmail/A 47571-2025 tillsynsbegäran mail.docx", "A 47571-2025")</f>
        <v/>
      </c>
      <c r="Z5">
        <f>HYPERLINK("https://klasma.github.io/Logging_1761/fåglar/A 47571-2025 prioriterade fågelarter.docx", "A 47571-2025")</f>
        <v/>
      </c>
    </row>
    <row r="6" ht="15" customHeight="1">
      <c r="A6" t="inlineStr">
        <is>
          <t>A 45407-2025</t>
        </is>
      </c>
      <c r="B6" s="1" t="n">
        <v>45922</v>
      </c>
      <c r="C6" s="1" t="n">
        <v>46191</v>
      </c>
      <c r="D6" t="inlineStr">
        <is>
          <t>VÄRMLANDS LÄN</t>
        </is>
      </c>
      <c r="E6" t="inlineStr">
        <is>
          <t>HAMMARÖ</t>
        </is>
      </c>
      <c r="G6" t="n">
        <v>11.6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Älg
Havsörn
Vanlig padda</t>
        </is>
      </c>
      <c r="S6">
        <f>HYPERLINK("https://klasma.github.io/Logging_1761/artfynd/A 45407-2025 artfynd.xlsx", "A 45407-2025")</f>
        <v/>
      </c>
      <c r="T6">
        <f>HYPERLINK("https://klasma.github.io/Logging_1761/kartor/A 45407-2025 karta.png", "A 45407-2025")</f>
        <v/>
      </c>
      <c r="V6">
        <f>HYPERLINK("https://klasma.github.io/Logging_1761/klagomål/A 45407-2025 FSC-klagomål.docx", "A 45407-2025")</f>
        <v/>
      </c>
      <c r="W6">
        <f>HYPERLINK("https://klasma.github.io/Logging_1761/klagomålsmail/A 45407-2025 FSC-klagomål mail.docx", "A 45407-2025")</f>
        <v/>
      </c>
      <c r="X6">
        <f>HYPERLINK("https://klasma.github.io/Logging_1761/tillsyn/A 45407-2025 tillsynsbegäran.docx", "A 45407-2025")</f>
        <v/>
      </c>
      <c r="Y6">
        <f>HYPERLINK("https://klasma.github.io/Logging_1761/tillsynsmail/A 45407-2025 tillsynsbegäran mail.docx", "A 45407-2025")</f>
        <v/>
      </c>
      <c r="Z6">
        <f>HYPERLINK("https://klasma.github.io/Logging_1761/fåglar/A 45407-2025 prioriterade fågelarter.docx", "A 45407-2025")</f>
        <v/>
      </c>
    </row>
    <row r="7" ht="15" customHeight="1">
      <c r="A7" t="inlineStr">
        <is>
          <t>A 24616-2022</t>
        </is>
      </c>
      <c r="B7" s="1" t="n">
        <v>44727</v>
      </c>
      <c r="C7" s="1" t="n">
        <v>46191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Tretåig hackspett
Spillkråka</t>
        </is>
      </c>
      <c r="S7">
        <f>HYPERLINK("https://klasma.github.io/Logging_1761/artfynd/A 24616-2022 artfynd.xlsx", "A 24616-2022")</f>
        <v/>
      </c>
      <c r="T7">
        <f>HYPERLINK("https://klasma.github.io/Logging_1761/kartor/A 24616-2022 karta.png", "A 24616-2022")</f>
        <v/>
      </c>
      <c r="U7">
        <f>HYPERLINK("https://klasma.github.io/Logging_1761/knärot/A 24616-2022 karta knärot.png", "A 24616-2022")</f>
        <v/>
      </c>
      <c r="V7">
        <f>HYPERLINK("https://klasma.github.io/Logging_1761/klagomål/A 24616-2022 FSC-klagomål.docx", "A 24616-2022")</f>
        <v/>
      </c>
      <c r="W7">
        <f>HYPERLINK("https://klasma.github.io/Logging_1761/klagomålsmail/A 24616-2022 FSC-klagomål mail.docx", "A 24616-2022")</f>
        <v/>
      </c>
      <c r="X7">
        <f>HYPERLINK("https://klasma.github.io/Logging_1761/tillsyn/A 24616-2022 tillsynsbegäran.docx", "A 24616-2022")</f>
        <v/>
      </c>
      <c r="Y7">
        <f>HYPERLINK("https://klasma.github.io/Logging_1761/tillsynsmail/A 24616-2022 tillsynsbegäran mail.docx", "A 24616-2022")</f>
        <v/>
      </c>
      <c r="Z7">
        <f>HYPERLINK("https://klasma.github.io/Logging_1761/fåglar/A 24616-2022 prioriterade fågelarter.docx", "A 24616-2022")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46191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skogssnigel
Spillkråka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  <c r="Z8">
        <f>HYPERLINK("https://klasma.github.io/Logging_1761/fåglar/A 24618-2022 prioriterade fågelarter.docx", "A 24618-2022")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46191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2769-2023</t>
        </is>
      </c>
      <c r="B10" s="1" t="n">
        <v>44944</v>
      </c>
      <c r="C10" s="1" t="n">
        <v>46191</v>
      </c>
      <c r="D10" t="inlineStr">
        <is>
          <t>VÄRMLANDS LÄN</t>
        </is>
      </c>
      <c r="E10" t="inlineStr">
        <is>
          <t>HAMMARÖ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2769-2023 artfynd.xlsx", "A 2769-2023")</f>
        <v/>
      </c>
      <c r="T10">
        <f>HYPERLINK("https://klasma.github.io/Logging_1761/kartor/A 2769-2023 karta.png", "A 2769-2023")</f>
        <v/>
      </c>
      <c r="V10">
        <f>HYPERLINK("https://klasma.github.io/Logging_1761/klagomål/A 2769-2023 FSC-klagomål.docx", "A 2769-2023")</f>
        <v/>
      </c>
      <c r="W10">
        <f>HYPERLINK("https://klasma.github.io/Logging_1761/klagomålsmail/A 2769-2023 FSC-klagomål mail.docx", "A 2769-2023")</f>
        <v/>
      </c>
      <c r="X10">
        <f>HYPERLINK("https://klasma.github.io/Logging_1761/tillsyn/A 2769-2023 tillsynsbegäran.docx", "A 2769-2023")</f>
        <v/>
      </c>
      <c r="Y10">
        <f>HYPERLINK("https://klasma.github.io/Logging_1761/tillsynsmail/A 2769-2023 tillsynsbegäran mail.docx", "A 2769-2023")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46191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</row>
    <row r="12" ht="15" customHeight="1">
      <c r="A12" t="inlineStr">
        <is>
          <t>A 58382-2024</t>
        </is>
      </c>
      <c r="B12" s="1" t="n">
        <v>45632</v>
      </c>
      <c r="C12" s="1" t="n">
        <v>46191</v>
      </c>
      <c r="D12" t="inlineStr">
        <is>
          <t>VÄRMLANDS LÄN</t>
        </is>
      </c>
      <c r="E12" t="inlineStr">
        <is>
          <t>HAMMARÖ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58382-2024 artfynd.xlsx", "A 58382-2024")</f>
        <v/>
      </c>
      <c r="T12">
        <f>HYPERLINK("https://klasma.github.io/Logging_1761/kartor/A 58382-2024 karta.png", "A 58382-2024")</f>
        <v/>
      </c>
      <c r="U12">
        <f>HYPERLINK("https://klasma.github.io/Logging_1761/knärot/A 58382-2024 karta knärot.png", "A 58382-2024")</f>
        <v/>
      </c>
      <c r="V12">
        <f>HYPERLINK("https://klasma.github.io/Logging_1761/klagomål/A 58382-2024 FSC-klagomål.docx", "A 58382-2024")</f>
        <v/>
      </c>
      <c r="W12">
        <f>HYPERLINK("https://klasma.github.io/Logging_1761/klagomålsmail/A 58382-2024 FSC-klagomål mail.docx", "A 58382-2024")</f>
        <v/>
      </c>
      <c r="X12">
        <f>HYPERLINK("https://klasma.github.io/Logging_1761/tillsyn/A 58382-2024 tillsynsbegäran.docx", "A 58382-2024")</f>
        <v/>
      </c>
      <c r="Y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s="1" t="n">
        <v>45176</v>
      </c>
      <c r="C13" s="1" t="n">
        <v>46191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Grönsiska</t>
        </is>
      </c>
      <c r="S13">
        <f>HYPERLINK("https://klasma.github.io/Logging_1761/artfynd/A 41899-2023 artfynd.xlsx", "A 41899-2023")</f>
        <v/>
      </c>
      <c r="T13">
        <f>HYPERLINK("https://klasma.github.io/Logging_1761/kartor/A 41899-2023 karta.png", "A 41899-2023")</f>
        <v/>
      </c>
      <c r="V13">
        <f>HYPERLINK("https://klasma.github.io/Logging_1761/klagomål/A 41899-2023 FSC-klagomål.docx", "A 41899-2023")</f>
        <v/>
      </c>
      <c r="W13">
        <f>HYPERLINK("https://klasma.github.io/Logging_1761/klagomålsmail/A 41899-2023 FSC-klagomål mail.docx", "A 41899-2023")</f>
        <v/>
      </c>
      <c r="X13">
        <f>HYPERLINK("https://klasma.github.io/Logging_1761/tillsyn/A 41899-2023 tillsynsbegäran.docx", "A 41899-2023")</f>
        <v/>
      </c>
      <c r="Y13">
        <f>HYPERLINK("https://klasma.github.io/Logging_1761/tillsynsmail/A 41899-2023 tillsynsbegäran mail.docx", "A 41899-2023")</f>
        <v/>
      </c>
      <c r="Z13">
        <f>HYPERLINK("https://klasma.github.io/Logging_1761/fåglar/A 41899-2023 prioriterade fågelarter.docx", "A 41899-2023")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46191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58383-2024</t>
        </is>
      </c>
      <c r="B15" s="1" t="n">
        <v>45632</v>
      </c>
      <c r="C15" s="1" t="n">
        <v>46191</v>
      </c>
      <c r="D15" t="inlineStr">
        <is>
          <t>VÄRMLANDS LÄN</t>
        </is>
      </c>
      <c r="E15" t="inlineStr">
        <is>
          <t>HAMMARÖ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53369-2024</t>
        </is>
      </c>
      <c r="B16" s="1" t="n">
        <v>45614</v>
      </c>
      <c r="C16" s="1" t="n">
        <v>46191</v>
      </c>
      <c r="D16" t="inlineStr">
        <is>
          <t>VÄRMLANDS LÄN</t>
        </is>
      </c>
      <c r="E16" t="inlineStr">
        <is>
          <t>HAMMARÖ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51008-2023</t>
        </is>
      </c>
      <c r="B17" s="1" t="n">
        <v>45218</v>
      </c>
      <c r="C17" s="1" t="n">
        <v>46191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</v>
      </c>
      <c r="C18" s="1" t="n">
        <v>46191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46191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42951-2023</t>
        </is>
      </c>
      <c r="B20" s="1" t="n">
        <v>45182</v>
      </c>
      <c r="C20" s="1" t="n">
        <v>46191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46191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46191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46191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55066-2023</t>
        </is>
      </c>
      <c r="B24" s="1" t="n">
        <v>45237</v>
      </c>
      <c r="C24" s="1" t="n">
        <v>46191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42957-2023</t>
        </is>
      </c>
      <c r="B25" s="1" t="n">
        <v>45182</v>
      </c>
      <c r="C25" s="1" t="n">
        <v>46191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57893-2023</t>
        </is>
      </c>
      <c r="B26" s="1" t="n">
        <v>45247</v>
      </c>
      <c r="C26" s="1" t="n">
        <v>46191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46191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</v>
      </c>
      <c r="C28" s="1" t="n">
        <v>46191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46191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55069-2023</t>
        </is>
      </c>
      <c r="B30" s="1" t="n">
        <v>45237</v>
      </c>
      <c r="C30" s="1" t="n">
        <v>46191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2026-06-18T13:19:42Z</dcterms:created>
  <dcterms:modified xmlns:dcterms="http://purl.org/dc/terms/" xmlns:xsi="http://www.w3.org/2001/XMLSchema-instance" xsi:type="dcterms:W3CDTF">2026-06-18T13:19:42Z</dcterms:modified>
</cp:coreProperties>
</file>