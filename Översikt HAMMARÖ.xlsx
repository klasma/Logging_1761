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45360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Spillkråka
Tretåig hackspett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45360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68622-2021</t>
        </is>
      </c>
      <c r="B4" s="1" t="n">
        <v>44529</v>
      </c>
      <c r="C4" s="1" t="n">
        <v>45360</v>
      </c>
      <c r="D4" t="inlineStr">
        <is>
          <t>VÄRMLANDS LÄN</t>
        </is>
      </c>
      <c r="E4" t="inlineStr">
        <is>
          <t>HAMMARÖ</t>
        </is>
      </c>
      <c r="G4" t="n">
        <v>9.699999999999999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Tallticka</t>
        </is>
      </c>
      <c r="S4">
        <f>HYPERLINK("https://klasma.github.io/Logging_1761/artfynd/A 68622-2021 artfynd.xlsx", "A 68622-2021")</f>
        <v/>
      </c>
      <c r="T4">
        <f>HYPERLINK("https://klasma.github.io/Logging_1761/kartor/A 68622-2021 karta.png", "A 68622-2021")</f>
        <v/>
      </c>
      <c r="V4">
        <f>HYPERLINK("https://klasma.github.io/Logging_1761/klagomål/A 68622-2021 FSC-klagomål.docx", "A 68622-2021")</f>
        <v/>
      </c>
      <c r="W4">
        <f>HYPERLINK("https://klasma.github.io/Logging_1761/klagomålsmail/A 68622-2021 FSC-klagomål mail.docx", "A 68622-2021")</f>
        <v/>
      </c>
      <c r="X4">
        <f>HYPERLINK("https://klasma.github.io/Logging_1761/tillsyn/A 68622-2021 tillsynsbegäran.docx", "A 68622-2021")</f>
        <v/>
      </c>
      <c r="Y4">
        <f>HYPERLINK("https://klasma.github.io/Logging_1761/tillsynsmail/A 68622-2021 tillsynsbegäran mail.docx", "A 68622-2021")</f>
        <v/>
      </c>
    </row>
    <row r="5" ht="15" customHeight="1">
      <c r="A5" t="inlineStr">
        <is>
          <t>A 24618-2022</t>
        </is>
      </c>
      <c r="B5" s="1" t="n">
        <v>44727</v>
      </c>
      <c r="C5" s="1" t="n">
        <v>45360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HYPERLINK("https://klasma.github.io/Logging_1761/artfynd/A 24618-2022 artfynd.xlsx", "A 24618-2022")</f>
        <v/>
      </c>
      <c r="T5">
        <f>HYPERLINK("https://klasma.github.io/Logging_1761/kartor/A 24618-2022 karta.png", "A 24618-2022")</f>
        <v/>
      </c>
      <c r="U5">
        <f>HYPERLINK("https://klasma.github.io/Logging_1761/knärot/A 24618-2022 karta knärot.png", "A 24618-2022")</f>
        <v/>
      </c>
      <c r="V5">
        <f>HYPERLINK("https://klasma.github.io/Logging_1761/klagomål/A 24618-2022 FSC-klagomål.docx", "A 24618-2022")</f>
        <v/>
      </c>
      <c r="W5">
        <f>HYPERLINK("https://klasma.github.io/Logging_1761/klagomålsmail/A 24618-2022 FSC-klagomål mail.docx", "A 24618-2022")</f>
        <v/>
      </c>
      <c r="X5">
        <f>HYPERLINK("https://klasma.github.io/Logging_1761/tillsyn/A 24618-2022 tillsynsbegäran.docx", "A 24618-2022")</f>
        <v/>
      </c>
      <c r="Y5">
        <f>HYPERLINK("https://klasma.github.io/Logging_1761/tillsynsmail/A 24618-2022 tillsynsbegäran mail.docx", "A 24618-2022")</f>
        <v/>
      </c>
    </row>
    <row r="6" ht="15" customHeight="1">
      <c r="A6" t="inlineStr">
        <is>
          <t>A 55068-2023</t>
        </is>
      </c>
      <c r="B6" s="1" t="n">
        <v>45237</v>
      </c>
      <c r="C6" s="1" t="n">
        <v>45360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Motaggsvamp</t>
        </is>
      </c>
      <c r="S6">
        <f>HYPERLINK("https://klasma.github.io/Logging_1761/artfynd/A 55068-2023 artfynd.xlsx", "A 55068-2023")</f>
        <v/>
      </c>
      <c r="T6">
        <f>HYPERLINK("https://klasma.github.io/Logging_1761/kartor/A 55068-2023 karta.png", "A 55068-2023")</f>
        <v/>
      </c>
      <c r="V6">
        <f>HYPERLINK("https://klasma.github.io/Logging_1761/klagomål/A 55068-2023 FSC-klagomål.docx", "A 55068-2023")</f>
        <v/>
      </c>
      <c r="W6">
        <f>HYPERLINK("https://klasma.github.io/Logging_1761/klagomålsmail/A 55068-2023 FSC-klagomål mail.docx", "A 55068-2023")</f>
        <v/>
      </c>
      <c r="X6">
        <f>HYPERLINK("https://klasma.github.io/Logging_1761/tillsyn/A 55068-2023 tillsynsbegäran.docx", "A 55068-2023")</f>
        <v/>
      </c>
      <c r="Y6">
        <f>HYPERLINK("https://klasma.github.io/Logging_1761/tillsynsmail/A 55068-2023 tillsynsbegäran mail.docx", "A 55068-2023")</f>
        <v/>
      </c>
    </row>
    <row r="7" ht="15" customHeight="1">
      <c r="A7" t="inlineStr">
        <is>
          <t>A 60674-2018</t>
        </is>
      </c>
      <c r="B7" s="1" t="n">
        <v>43409</v>
      </c>
      <c r="C7" s="1" t="n">
        <v>45360</v>
      </c>
      <c r="D7" t="inlineStr">
        <is>
          <t>VÄRMLANDS LÄN</t>
        </is>
      </c>
      <c r="E7" t="inlineStr">
        <is>
          <t>HAMMARÖ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67502-2018</t>
        </is>
      </c>
      <c r="B8" s="1" t="n">
        <v>43439</v>
      </c>
      <c r="C8" s="1" t="n">
        <v>45360</v>
      </c>
      <c r="D8" t="inlineStr">
        <is>
          <t>VÄRMLANDS LÄN</t>
        </is>
      </c>
      <c r="E8" t="inlineStr">
        <is>
          <t>HAMMARÖ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23183-2020</t>
        </is>
      </c>
      <c r="B9" s="1" t="n">
        <v>43966</v>
      </c>
      <c r="C9" s="1" t="n">
        <v>45360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54326-2020</t>
        </is>
      </c>
      <c r="B10" s="1" t="n">
        <v>44126</v>
      </c>
      <c r="C10" s="1" t="n">
        <v>45360</v>
      </c>
      <c r="D10" t="inlineStr">
        <is>
          <t>VÄRMLANDS LÄN</t>
        </is>
      </c>
      <c r="E10" t="inlineStr">
        <is>
          <t>HAMMARÖ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62456-2020</t>
        </is>
      </c>
      <c r="B11" s="1" t="n">
        <v>44160</v>
      </c>
      <c r="C11" s="1" t="n">
        <v>45360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62608-2020</t>
        </is>
      </c>
      <c r="B12" s="1" t="n">
        <v>44161</v>
      </c>
      <c r="C12" s="1" t="n">
        <v>45360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5072-2021</t>
        </is>
      </c>
      <c r="B13" s="1" t="n">
        <v>44228</v>
      </c>
      <c r="C13" s="1" t="n">
        <v>45360</v>
      </c>
      <c r="D13" t="inlineStr">
        <is>
          <t>VÄRMLANDS LÄN</t>
        </is>
      </c>
      <c r="E13" t="inlineStr">
        <is>
          <t>HAMMARÖ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16890-2021</t>
        </is>
      </c>
      <c r="B14" s="1" t="n">
        <v>44295</v>
      </c>
      <c r="C14" s="1" t="n">
        <v>45360</v>
      </c>
      <c r="D14" t="inlineStr">
        <is>
          <t>VÄRMLANDS LÄN</t>
        </is>
      </c>
      <c r="E14" t="inlineStr">
        <is>
          <t>HAMMARÖ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20755-2021</t>
        </is>
      </c>
      <c r="B15" s="1" t="n">
        <v>44316</v>
      </c>
      <c r="C15" s="1" t="n">
        <v>45360</v>
      </c>
      <c r="D15" t="inlineStr">
        <is>
          <t>VÄRMLANDS LÄN</t>
        </is>
      </c>
      <c r="E15" t="inlineStr">
        <is>
          <t>HAMMARÖ</t>
        </is>
      </c>
      <c r="G15" t="n">
        <v>16.8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43631-2021</t>
        </is>
      </c>
      <c r="B16" s="1" t="n">
        <v>44433</v>
      </c>
      <c r="C16" s="1" t="n">
        <v>45360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56835-2021</t>
        </is>
      </c>
      <c r="B17" s="1" t="n">
        <v>44481</v>
      </c>
      <c r="C17" s="1" t="n">
        <v>45360</v>
      </c>
      <c r="D17" t="inlineStr">
        <is>
          <t>VÄRMLANDS LÄN</t>
        </is>
      </c>
      <c r="E17" t="inlineStr">
        <is>
          <t>HAMMARÖ</t>
        </is>
      </c>
      <c r="F17" t="inlineStr">
        <is>
          <t>Kommuner</t>
        </is>
      </c>
      <c r="G17" t="n">
        <v>18.8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45360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45360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45360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45360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45360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45360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45360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45360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45360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45360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45360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45360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45360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45360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45360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45360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45360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45360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45360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45360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45360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45360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45360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45360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45360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45360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45360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2024-03-09T14:01:41Z</dcterms:created>
  <dcterms:modified xmlns:dcterms="http://purl.org/dc/terms/" xmlns:xsi="http://www.w3.org/2001/XMLSchema-instance" xsi:type="dcterms:W3CDTF">2024-03-09T14:01:41Z</dcterms:modified>
</cp:coreProperties>
</file>