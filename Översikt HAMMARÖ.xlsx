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45642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45642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45642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54326-2020</t>
        </is>
      </c>
      <c r="B5" s="1" t="n">
        <v>44126</v>
      </c>
      <c r="C5" s="1" t="n">
        <v>45642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Törnskata</t>
        </is>
      </c>
      <c r="S5">
        <f>HYPERLINK("https://klasma.github.io/Logging_1761/artfynd/A 54326-2020 artfynd.xlsx", "A 54326-2020")</f>
        <v/>
      </c>
      <c r="T5">
        <f>HYPERLINK("https://klasma.github.io/Logging_1761/kartor/A 54326-2020 karta.png", "A 54326-2020")</f>
        <v/>
      </c>
      <c r="V5">
        <f>HYPERLINK("https://klasma.github.io/Logging_1761/klagomål/A 54326-2020 FSC-klagomål.docx", "A 54326-2020")</f>
        <v/>
      </c>
      <c r="W5">
        <f>HYPERLINK("https://klasma.github.io/Logging_1761/klagomålsmail/A 54326-2020 FSC-klagomål mail.docx", "A 54326-2020")</f>
        <v/>
      </c>
      <c r="X5">
        <f>HYPERLINK("https://klasma.github.io/Logging_1761/tillsyn/A 54326-2020 tillsynsbegäran.docx", "A 54326-2020")</f>
        <v/>
      </c>
      <c r="Y5">
        <f>HYPERLINK("https://klasma.github.io/Logging_1761/tillsynsmail/A 54326-2020 tillsynsbegäran mail.docx", "A 54326-2020")</f>
        <v/>
      </c>
      <c r="Z5">
        <f>HYPERLINK("https://klasma.github.io/Logging_1761/fåglar/A 54326-2020 prioriterade fågelarter.docx", "A 54326-2020")</f>
        <v/>
      </c>
    </row>
    <row r="6" ht="15" customHeight="1">
      <c r="A6" t="inlineStr">
        <is>
          <t>A 24618-2022</t>
        </is>
      </c>
      <c r="B6" s="1" t="n">
        <v>44727</v>
      </c>
      <c r="C6" s="1" t="n">
        <v>45642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HYPERLINK("https://klasma.github.io/Logging_1761/artfynd/A 24618-2022 artfynd.xlsx", "A 24618-2022")</f>
        <v/>
      </c>
      <c r="T6">
        <f>HYPERLINK("https://klasma.github.io/Logging_1761/kartor/A 24618-2022 karta.png", "A 24618-2022")</f>
        <v/>
      </c>
      <c r="U6">
        <f>HYPERLINK("https://klasma.github.io/Logging_1761/knärot/A 24618-2022 karta knärot.png", "A 24618-2022")</f>
        <v/>
      </c>
      <c r="V6">
        <f>HYPERLINK("https://klasma.github.io/Logging_1761/klagomål/A 24618-2022 FSC-klagomål.docx", "A 24618-2022")</f>
        <v/>
      </c>
      <c r="W6">
        <f>HYPERLINK("https://klasma.github.io/Logging_1761/klagomålsmail/A 24618-2022 FSC-klagomål mail.docx", "A 24618-2022")</f>
        <v/>
      </c>
      <c r="X6">
        <f>HYPERLINK("https://klasma.github.io/Logging_1761/tillsyn/A 24618-2022 tillsynsbegäran.docx", "A 24618-2022")</f>
        <v/>
      </c>
      <c r="Y6">
        <f>HYPERLINK("https://klasma.github.io/Logging_1761/tillsynsmail/A 24618-2022 tillsynsbegäran mail.docx", "A 24618-2022")</f>
        <v/>
      </c>
    </row>
    <row r="7" ht="15" customHeight="1">
      <c r="A7" t="inlineStr">
        <is>
          <t>A 41803-2023</t>
        </is>
      </c>
      <c r="B7" s="1" t="n">
        <v>45176</v>
      </c>
      <c r="C7" s="1" t="n">
        <v>45642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HYPERLINK("https://klasma.github.io/Logging_1761/artfynd/A 41803-2023 artfynd.xlsx", "A 41803-2023")</f>
        <v/>
      </c>
      <c r="T7">
        <f>HYPERLINK("https://klasma.github.io/Logging_1761/kartor/A 41803-2023 karta.png", "A 41803-2023")</f>
        <v/>
      </c>
      <c r="V7">
        <f>HYPERLINK("https://klasma.github.io/Logging_1761/klagomål/A 41803-2023 FSC-klagomål.docx", "A 41803-2023")</f>
        <v/>
      </c>
      <c r="W7">
        <f>HYPERLINK("https://klasma.github.io/Logging_1761/klagomålsmail/A 41803-2023 FSC-klagomål mail.docx", "A 41803-2023")</f>
        <v/>
      </c>
      <c r="X7">
        <f>HYPERLINK("https://klasma.github.io/Logging_1761/tillsyn/A 41803-2023 tillsynsbegäran.docx", "A 41803-2023")</f>
        <v/>
      </c>
      <c r="Y7">
        <f>HYPERLINK("https://klasma.github.io/Logging_1761/tillsynsmail/A 41803-2023 tillsynsbegäran mail.docx", "A 41803-2023")</f>
        <v/>
      </c>
      <c r="Z7">
        <f>HYPERLINK("https://klasma.github.io/Logging_1761/fåglar/A 41803-2023 prioriterade fågelarter.docx", "A 41803-2023")</f>
        <v/>
      </c>
    </row>
    <row r="8" ht="15" customHeight="1">
      <c r="A8" t="inlineStr">
        <is>
          <t>A 42303-2023</t>
        </is>
      </c>
      <c r="B8" s="1" t="n">
        <v>45180</v>
      </c>
      <c r="C8" s="1" t="n">
        <v>45642</v>
      </c>
      <c r="D8" t="inlineStr">
        <is>
          <t>VÄRMLANDS LÄN</t>
        </is>
      </c>
      <c r="E8" t="inlineStr">
        <is>
          <t>HAMMARÖ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flugsnappare</t>
        </is>
      </c>
      <c r="S8">
        <f>HYPERLINK("https://klasma.github.io/Logging_1761/artfynd/A 42303-2023 artfynd.xlsx", "A 42303-2023")</f>
        <v/>
      </c>
      <c r="T8">
        <f>HYPERLINK("https://klasma.github.io/Logging_1761/kartor/A 42303-2023 karta.png", "A 42303-2023")</f>
        <v/>
      </c>
      <c r="V8">
        <f>HYPERLINK("https://klasma.github.io/Logging_1761/klagomål/A 42303-2023 FSC-klagomål.docx", "A 42303-2023")</f>
        <v/>
      </c>
      <c r="W8">
        <f>HYPERLINK("https://klasma.github.io/Logging_1761/klagomålsmail/A 42303-2023 FSC-klagomål mail.docx", "A 42303-2023")</f>
        <v/>
      </c>
      <c r="X8">
        <f>HYPERLINK("https://klasma.github.io/Logging_1761/tillsyn/A 42303-2023 tillsynsbegäran.docx", "A 42303-2023")</f>
        <v/>
      </c>
      <c r="Y8">
        <f>HYPERLINK("https://klasma.github.io/Logging_1761/tillsynsmail/A 42303-2023 tillsynsbegäran mail.docx", "A 42303-2023")</f>
        <v/>
      </c>
      <c r="Z8">
        <f>HYPERLINK("https://klasma.github.io/Logging_1761/fåglar/A 42303-2023 prioriterade fågelarter.docx", "A 42303-2023")</f>
        <v/>
      </c>
    </row>
    <row r="9" ht="15" customHeight="1">
      <c r="A9" t="inlineStr">
        <is>
          <t>A 42337-2023</t>
        </is>
      </c>
      <c r="B9" s="1" t="n">
        <v>45180</v>
      </c>
      <c r="C9" s="1" t="n">
        <v>45642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9.6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42337-2023 artfynd.xlsx", "A 42337-2023")</f>
        <v/>
      </c>
      <c r="T9">
        <f>HYPERLINK("https://klasma.github.io/Logging_1761/kartor/A 42337-2023 karta.png", "A 42337-2023")</f>
        <v/>
      </c>
      <c r="V9">
        <f>HYPERLINK("https://klasma.github.io/Logging_1761/klagomål/A 42337-2023 FSC-klagomål.docx", "A 42337-2023")</f>
        <v/>
      </c>
      <c r="W9">
        <f>HYPERLINK("https://klasma.github.io/Logging_1761/klagomålsmail/A 42337-2023 FSC-klagomål mail.docx", "A 42337-2023")</f>
        <v/>
      </c>
      <c r="X9">
        <f>HYPERLINK("https://klasma.github.io/Logging_1761/tillsyn/A 42337-2023 tillsynsbegäran.docx", "A 42337-2023")</f>
        <v/>
      </c>
      <c r="Y9">
        <f>HYPERLINK("https://klasma.github.io/Logging_1761/tillsynsmail/A 42337-2023 tillsynsbegäran mail.docx", "A 42337-2023")</f>
        <v/>
      </c>
      <c r="Z9">
        <f>HYPERLINK("https://klasma.github.io/Logging_1761/fåglar/A 42337-2023 prioriterade fågelarter.docx", "A 42337-2023")</f>
        <v/>
      </c>
    </row>
    <row r="10" ht="15" customHeight="1">
      <c r="A10" t="inlineStr">
        <is>
          <t>A 53276-2023</t>
        </is>
      </c>
      <c r="B10" s="1" t="n">
        <v>45229</v>
      </c>
      <c r="C10" s="1" t="n">
        <v>45642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53276-2023 artfynd.xlsx", "A 53276-2023")</f>
        <v/>
      </c>
      <c r="T10">
        <f>HYPERLINK("https://klasma.github.io/Logging_1761/kartor/A 53276-2023 karta.png", "A 53276-2023")</f>
        <v/>
      </c>
      <c r="V10">
        <f>HYPERLINK("https://klasma.github.io/Logging_1761/klagomål/A 53276-2023 FSC-klagomål.docx", "A 53276-2023")</f>
        <v/>
      </c>
      <c r="W10">
        <f>HYPERLINK("https://klasma.github.io/Logging_1761/klagomålsmail/A 53276-2023 FSC-klagomål mail.docx", "A 53276-2023")</f>
        <v/>
      </c>
      <c r="X10">
        <f>HYPERLINK("https://klasma.github.io/Logging_1761/tillsyn/A 53276-2023 tillsynsbegäran.docx", "A 53276-2023")</f>
        <v/>
      </c>
      <c r="Y10">
        <f>HYPERLINK("https://klasma.github.io/Logging_1761/tillsynsmail/A 53276-2023 tillsynsbegäran mail.docx", "A 53276-2023")</f>
        <v/>
      </c>
      <c r="Z10">
        <f>HYPERLINK("https://klasma.github.io/Logging_1761/fåglar/A 53276-2023 prioriterade fågelarter.docx", "A 53276-2023")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45642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23183-2020</t>
        </is>
      </c>
      <c r="B12" s="1" t="n">
        <v>43966</v>
      </c>
      <c r="C12" s="1" t="n">
        <v>45642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62456-2020</t>
        </is>
      </c>
      <c r="B13" s="1" t="n">
        <v>44160</v>
      </c>
      <c r="C13" s="1" t="n">
        <v>45642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62608-2020</t>
        </is>
      </c>
      <c r="B14" s="1" t="n">
        <v>44161</v>
      </c>
      <c r="C14" s="1" t="n">
        <v>45642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45642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16890-2021</t>
        </is>
      </c>
      <c r="B16" s="1" t="n">
        <v>44295</v>
      </c>
      <c r="C16" s="1" t="n">
        <v>45642</v>
      </c>
      <c r="D16" t="inlineStr">
        <is>
          <t>VÄRMLANDS LÄN</t>
        </is>
      </c>
      <c r="E16" t="inlineStr">
        <is>
          <t>HAMMARÖ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20755-2021</t>
        </is>
      </c>
      <c r="B17" s="1" t="n">
        <v>44316</v>
      </c>
      <c r="C17" s="1" t="n">
        <v>45642</v>
      </c>
      <c r="D17" t="inlineStr">
        <is>
          <t>VÄRMLANDS LÄN</t>
        </is>
      </c>
      <c r="E17" t="inlineStr">
        <is>
          <t>HAMMARÖ</t>
        </is>
      </c>
      <c r="G17" t="n">
        <v>16.8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43631-2021</t>
        </is>
      </c>
      <c r="B18" s="1" t="n">
        <v>44433</v>
      </c>
      <c r="C18" s="1" t="n">
        <v>45642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56835-2021</t>
        </is>
      </c>
      <c r="B19" s="1" t="n">
        <v>44481</v>
      </c>
      <c r="C19" s="1" t="n">
        <v>45642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18.8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13354-2022</t>
        </is>
      </c>
      <c r="B20" s="1" t="n">
        <v>44645</v>
      </c>
      <c r="C20" s="1" t="n">
        <v>45642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13356-2022</t>
        </is>
      </c>
      <c r="B21" s="1" t="n">
        <v>44645</v>
      </c>
      <c r="C21" s="1" t="n">
        <v>45642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56799-2022</t>
        </is>
      </c>
      <c r="B22" s="1" t="n">
        <v>44894</v>
      </c>
      <c r="C22" s="1" t="n">
        <v>45642</v>
      </c>
      <c r="D22" t="inlineStr">
        <is>
          <t>VÄRMLANDS LÄN</t>
        </is>
      </c>
      <c r="E22" t="inlineStr">
        <is>
          <t>HAMMARÖ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45642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41897-2023</t>
        </is>
      </c>
      <c r="B24" s="1" t="n">
        <v>45176</v>
      </c>
      <c r="C24" s="1" t="n">
        <v>45642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41892-2023</t>
        </is>
      </c>
      <c r="B25" s="1" t="n">
        <v>45176</v>
      </c>
      <c r="C25" s="1" t="n">
        <v>45642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41891-2023</t>
        </is>
      </c>
      <c r="B26" s="1" t="n">
        <v>45176</v>
      </c>
      <c r="C26" s="1" t="n">
        <v>45642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45642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41899-2023</t>
        </is>
      </c>
      <c r="B28" s="1" t="n">
        <v>45176</v>
      </c>
      <c r="C28" s="1" t="n">
        <v>45642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42339-2023</t>
        </is>
      </c>
      <c r="B29" s="1" t="n">
        <v>45180</v>
      </c>
      <c r="C29" s="1" t="n">
        <v>45642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42344-2023</t>
        </is>
      </c>
      <c r="B30" s="1" t="n">
        <v>45180</v>
      </c>
      <c r="C30" s="1" t="n">
        <v>45642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42957-2023</t>
        </is>
      </c>
      <c r="B31" s="1" t="n">
        <v>45182</v>
      </c>
      <c r="C31" s="1" t="n">
        <v>45642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45642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45642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45642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47008-2023</t>
        </is>
      </c>
      <c r="B35" s="1" t="n">
        <v>45201</v>
      </c>
      <c r="C35" s="1" t="n">
        <v>45642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46982-2023</t>
        </is>
      </c>
      <c r="B36" s="1" t="n">
        <v>45201</v>
      </c>
      <c r="C36" s="1" t="n">
        <v>45642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51008-2023</t>
        </is>
      </c>
      <c r="B37" s="1" t="n">
        <v>45218</v>
      </c>
      <c r="C37" s="1" t="n">
        <v>45642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53288-2023</t>
        </is>
      </c>
      <c r="B38" s="1" t="n">
        <v>45229</v>
      </c>
      <c r="C38" s="1" t="n">
        <v>45642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55066-2023</t>
        </is>
      </c>
      <c r="B39" s="1" t="n">
        <v>45237</v>
      </c>
      <c r="C39" s="1" t="n">
        <v>45642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55069-2023</t>
        </is>
      </c>
      <c r="B40" s="1" t="n">
        <v>45237</v>
      </c>
      <c r="C40" s="1" t="n">
        <v>45642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57896-2023</t>
        </is>
      </c>
      <c r="B41" s="1" t="n">
        <v>45247</v>
      </c>
      <c r="C41" s="1" t="n">
        <v>45642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57893-2023</t>
        </is>
      </c>
      <c r="B42" s="1" t="n">
        <v>45247</v>
      </c>
      <c r="C42" s="1" t="n">
        <v>45642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37934-2024</t>
        </is>
      </c>
      <c r="B43" s="1" t="n">
        <v>45544</v>
      </c>
      <c r="C43" s="1" t="n">
        <v>45642</v>
      </c>
      <c r="D43" t="inlineStr">
        <is>
          <t>VÄRMLANDS LÄN</t>
        </is>
      </c>
      <c r="E43" t="inlineStr">
        <is>
          <t>HAMMARÖ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53369-2024</t>
        </is>
      </c>
      <c r="B44" s="1" t="n">
        <v>45614</v>
      </c>
      <c r="C44" s="1" t="n">
        <v>45642</v>
      </c>
      <c r="D44" t="inlineStr">
        <is>
          <t>VÄRMLANDS LÄN</t>
        </is>
      </c>
      <c r="E44" t="inlineStr">
        <is>
          <t>HAMMARÖ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58382-2024</t>
        </is>
      </c>
      <c r="B45" s="1" t="n">
        <v>45632</v>
      </c>
      <c r="C45" s="1" t="n">
        <v>45642</v>
      </c>
      <c r="D45" t="inlineStr">
        <is>
          <t>VÄRMLANDS LÄN</t>
        </is>
      </c>
      <c r="E45" t="inlineStr">
        <is>
          <t>HAMMARÖ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58383-2024</t>
        </is>
      </c>
      <c r="B46" s="1" t="n">
        <v>45632</v>
      </c>
      <c r="C46" s="1" t="n">
        <v>45642</v>
      </c>
      <c r="D46" t="inlineStr">
        <is>
          <t>VÄRMLANDS LÄN</t>
        </is>
      </c>
      <c r="E46" t="inlineStr">
        <is>
          <t>HAMMARÖ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2024-12-16T15:11:54Z</dcterms:created>
  <dcterms:modified xmlns:dcterms="http://purl.org/dc/terms/" xmlns:xsi="http://www.w3.org/2001/XMLSchema-instance" xsi:type="dcterms:W3CDTF">2024-12-16T15:11:54Z</dcterms:modified>
</cp:coreProperties>
</file>