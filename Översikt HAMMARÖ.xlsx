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46248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46248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46248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46248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46248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46248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46248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46248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46248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46248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46248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46248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Vanlig groda</t>
        </is>
      </c>
      <c r="W13">
        <f>HYPERLINK("https://klasma.github.io/Logging_1761/artfynd/A 53276-2023 artfynd.xlsx", "A 53276-2023")</f>
        <v/>
      </c>
      <c r="X13">
        <f>HYPERLINK("https://klasma.github.io/Logging_1761/kartor/A 53276-2023 karta.png", "A 53276-2023")</f>
        <v/>
      </c>
      <c r="Y13">
        <f>HYPERLINK("https://klasma.github.io/Logging_1761/kartor_geotiff/A 53276-2023 georefererad karta.tif", "A 53276-2023")</f>
        <v/>
      </c>
      <c r="AA13">
        <f>HYPERLINK("https://klasma.github.io/Logging_1761/klagomål/A 53276-2023 FSC-klagomål.docx", "A 53276-2023")</f>
        <v/>
      </c>
      <c r="AB13">
        <f>HYPERLINK("https://klasma.github.io/Logging_1761/klagomålsmail/A 53276-2023 FSC-klagomål mail.docx", "A 53276-2023")</f>
        <v/>
      </c>
      <c r="AC13">
        <f>HYPERLINK("https://klasma.github.io/Logging_1761/tillsyn/A 53276-2023 tillsynsbegäran.docx", "A 53276-2023")</f>
        <v/>
      </c>
      <c r="AD13">
        <f>HYPERLINK("https://klasma.github.io/Logging_1761/tillsynsmail/A 53276-2023 tillsynsbegäran mail.docx", "A 53276-2023")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46248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46248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58382-2024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46248</v>
      </c>
      <c r="F16" t="inlineStr">
        <is>
          <t>VÄRMLANDS LÄN</t>
        </is>
      </c>
      <c r="G16" t="inlineStr">
        <is>
          <t>HAMMARÖ</t>
        </is>
      </c>
      <c r="I16" t="n">
        <v>1.6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6</v>
      </c>
      <c r="U16" t="n">
        <v>6</v>
      </c>
      <c r="V16" s="2" t="inlineStr">
        <is>
          <t>Knärot</t>
        </is>
      </c>
      <c r="W16">
        <f>HYPERLINK("https://klasma.github.io/Logging_1761/artfynd/A 58382-2024 artfynd.xlsx", "A 58382-2024")</f>
        <v/>
      </c>
      <c r="X16">
        <f>HYPERLINK("https://klasma.github.io/Logging_1761/kartor/A 58382-2024 karta.png", "A 58382-2024")</f>
        <v/>
      </c>
      <c r="Y16">
        <f>HYPERLINK("https://klasma.github.io/Logging_1761/kartor_geotiff/A 58382-2024 georefererad karta.tif", "A 58382-2024")</f>
        <v/>
      </c>
      <c r="Z16">
        <f>HYPERLINK("https://klasma.github.io/Logging_1761/knärot/A 58382-2024 karta knärot.png", "A 58382-2024")</f>
        <v/>
      </c>
      <c r="AA16">
        <f>HYPERLINK("https://klasma.github.io/Logging_1761/klagomål/A 58382-2024 FSC-klagomål.docx", "A 58382-2024")</f>
        <v/>
      </c>
      <c r="AB16">
        <f>HYPERLINK("https://klasma.github.io/Logging_1761/klagomålsmail/A 58382-2024 FSC-klagomål mail.docx", "A 58382-2024")</f>
        <v/>
      </c>
      <c r="AC16">
        <f>HYPERLINK("https://klasma.github.io/Logging_1761/tillsyn/A 58382-2024 tillsynsbegäran.docx", "A 58382-2024")</f>
        <v/>
      </c>
      <c r="AD16">
        <f>HYPERLINK("https://klasma.github.io/Logging_1761/tillsynsmail/A 58382-2024 tillsynsbegäran mail.docx", "A 58382-2024")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46248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46248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51008-2023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45218</v>
      </c>
      <c r="E19" s="1" t="n">
        <v>46248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46248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41895-2023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46248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53369-2024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46248</v>
      </c>
      <c r="F22" t="inlineStr">
        <is>
          <t>VÄRMLANDS LÄN</t>
        </is>
      </c>
      <c r="G22" t="inlineStr">
        <is>
          <t>HAMMARÖ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58383-2024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46248</v>
      </c>
      <c r="F23" t="inlineStr">
        <is>
          <t>VÄRMLANDS LÄN</t>
        </is>
      </c>
      <c r="G23" t="inlineStr">
        <is>
          <t>HAMMARÖ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46248</v>
      </c>
      <c r="F24" t="inlineStr">
        <is>
          <t>VÄRMLANDS LÄN</t>
        </is>
      </c>
      <c r="G24" t="inlineStr">
        <is>
          <t>HAMMARÖ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37934-2024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45544</v>
      </c>
      <c r="E25" s="1" t="n">
        <v>46248</v>
      </c>
      <c r="F25" t="inlineStr">
        <is>
          <t>VÄRMLANDS LÄN</t>
        </is>
      </c>
      <c r="G25" t="inlineStr">
        <is>
          <t>HAMMARÖ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46248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46248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55069-2023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45237</v>
      </c>
      <c r="E28" s="1" t="n">
        <v>46248</v>
      </c>
      <c r="F28" t="inlineStr">
        <is>
          <t>VÄRMLANDS LÄN</t>
        </is>
      </c>
      <c r="G28" t="inlineStr">
        <is>
          <t>HAMMARÖ</t>
        </is>
      </c>
      <c r="H28" t="inlineStr">
        <is>
          <t>Kommuner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46248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46248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46248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46248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46248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2026-08-14T01:56:19Z</dcterms:created>
  <dcterms:modified xmlns:dcterms="http://purl.org/dc/terms/" xmlns:xsi="http://www.w3.org/2001/XMLSchema-instance" xsi:type="dcterms:W3CDTF">2026-08-14T01:56:19Z</dcterms:modified>
</cp:coreProperties>
</file>