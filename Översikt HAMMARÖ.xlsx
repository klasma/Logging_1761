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45941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45941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45941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45941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45941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45941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55068-2023</t>
        </is>
      </c>
      <c r="B8" s="1" t="n">
        <v>45237</v>
      </c>
      <c r="C8" s="1" t="n">
        <v>45941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HYPERLINK("https://klasma.github.io/Logging_1761/artfynd/A 55068-2023 artfynd.xlsx", "A 55068-2023")</f>
        <v/>
      </c>
      <c r="T8">
        <f>HYPERLINK("https://klasma.github.io/Logging_1761/kartor/A 55068-2023 karta.png", "A 55068-2023")</f>
        <v/>
      </c>
      <c r="V8">
        <f>HYPERLINK("https://klasma.github.io/Logging_1761/klagomål/A 55068-2023 FSC-klagomål.docx", "A 55068-2023")</f>
        <v/>
      </c>
      <c r="W8">
        <f>HYPERLINK("https://klasma.github.io/Logging_1761/klagomålsmail/A 55068-2023 FSC-klagomål mail.docx", "A 55068-2023")</f>
        <v/>
      </c>
      <c r="X8">
        <f>HYPERLINK("https://klasma.github.io/Logging_1761/tillsyn/A 55068-2023 tillsynsbegäran.docx", "A 55068-2023")</f>
        <v/>
      </c>
      <c r="Y8">
        <f>HYPERLINK("https://klasma.github.io/Logging_1761/tillsynsmail/A 55068-2023 tillsynsbegäran mail.docx", "A 55068-2023")</f>
        <v/>
      </c>
    </row>
    <row r="9" ht="15" customHeight="1">
      <c r="A9" t="inlineStr">
        <is>
          <t>A 47571-2025</t>
        </is>
      </c>
      <c r="B9" s="1" t="n">
        <v>45931.39516203704</v>
      </c>
      <c r="C9" s="1" t="n">
        <v>45941</v>
      </c>
      <c r="D9" t="inlineStr">
        <is>
          <t>VÄRMLANDS LÄN</t>
        </is>
      </c>
      <c r="E9" t="inlineStr">
        <is>
          <t>HAMMARÖ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47571-2025 artfynd.xlsx", "A 47571-2025")</f>
        <v/>
      </c>
      <c r="T9">
        <f>HYPERLINK("https://klasma.github.io/Logging_1761/kartor/A 47571-2025 karta.png", "A 47571-2025")</f>
        <v/>
      </c>
      <c r="V9">
        <f>HYPERLINK("https://klasma.github.io/Logging_1761/klagomål/A 47571-2025 FSC-klagomål.docx", "A 47571-2025")</f>
        <v/>
      </c>
      <c r="W9">
        <f>HYPERLINK("https://klasma.github.io/Logging_1761/klagomålsmail/A 47571-2025 FSC-klagomål mail.docx", "A 47571-2025")</f>
        <v/>
      </c>
      <c r="X9">
        <f>HYPERLINK("https://klasma.github.io/Logging_1761/tillsyn/A 47571-2025 tillsynsbegäran.docx", "A 47571-2025")</f>
        <v/>
      </c>
      <c r="Y9">
        <f>HYPERLINK("https://klasma.github.io/Logging_1761/tillsynsmail/A 47571-2025 tillsynsbegäran mail.docx", "A 47571-2025")</f>
        <v/>
      </c>
    </row>
    <row r="10" ht="15" customHeight="1">
      <c r="A10" t="inlineStr">
        <is>
          <t>A 45407-2025</t>
        </is>
      </c>
      <c r="B10" s="1" t="n">
        <v>45922.43200231482</v>
      </c>
      <c r="C10" s="1" t="n">
        <v>45941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45941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45941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45941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45941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45941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45941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45941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58383-2024</t>
        </is>
      </c>
      <c r="B18" s="1" t="n">
        <v>45632</v>
      </c>
      <c r="C18" s="1" t="n">
        <v>45941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45941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45941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51008-2023</t>
        </is>
      </c>
      <c r="B21" s="1" t="n">
        <v>45218</v>
      </c>
      <c r="C21" s="1" t="n">
        <v>45941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13356-2022</t>
        </is>
      </c>
      <c r="B22" s="1" t="n">
        <v>44645</v>
      </c>
      <c r="C22" s="1" t="n">
        <v>45941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42951-2023</t>
        </is>
      </c>
      <c r="B23" s="1" t="n">
        <v>45182</v>
      </c>
      <c r="C23" s="1" t="n">
        <v>45941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45941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45941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57893-2023</t>
        </is>
      </c>
      <c r="B26" s="1" t="n">
        <v>45247</v>
      </c>
      <c r="C26" s="1" t="n">
        <v>45941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10793-2025</t>
        </is>
      </c>
      <c r="B27" s="1" t="n">
        <v>45722</v>
      </c>
      <c r="C27" s="1" t="n">
        <v>45941</v>
      </c>
      <c r="D27" t="inlineStr">
        <is>
          <t>VÄRMLANDS LÄN</t>
        </is>
      </c>
      <c r="E27" t="inlineStr">
        <is>
          <t>HAMMARÖ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45941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45941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41661-2025</t>
        </is>
      </c>
      <c r="B30" s="1" t="n">
        <v>45902</v>
      </c>
      <c r="C30" s="1" t="n">
        <v>45941</v>
      </c>
      <c r="D30" t="inlineStr">
        <is>
          <t>VÄRMLANDS LÄN</t>
        </is>
      </c>
      <c r="E30" t="inlineStr">
        <is>
          <t>HAMMARÖ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58382-2024</t>
        </is>
      </c>
      <c r="B31" s="1" t="n">
        <v>45632</v>
      </c>
      <c r="C31" s="1" t="n">
        <v>45941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45423-2025</t>
        </is>
      </c>
      <c r="B32" s="1" t="n">
        <v>45922.45137731481</v>
      </c>
      <c r="C32" s="1" t="n">
        <v>45941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41895-2023</t>
        </is>
      </c>
      <c r="B33" s="1" t="n">
        <v>45176</v>
      </c>
      <c r="C33" s="1" t="n">
        <v>45941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41899-2023</t>
        </is>
      </c>
      <c r="B34" s="1" t="n">
        <v>45176</v>
      </c>
      <c r="C34" s="1" t="n">
        <v>45941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13354-2022</t>
        </is>
      </c>
      <c r="B35" s="1" t="n">
        <v>44645</v>
      </c>
      <c r="C35" s="1" t="n">
        <v>45941</v>
      </c>
      <c r="D35" t="inlineStr">
        <is>
          <t>VÄRMLANDS LÄN</t>
        </is>
      </c>
      <c r="E35" t="inlineStr">
        <is>
          <t>HAMMARÖ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55066-2023</t>
        </is>
      </c>
      <c r="B36" s="1" t="n">
        <v>45237</v>
      </c>
      <c r="C36" s="1" t="n">
        <v>45941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55069-2023</t>
        </is>
      </c>
      <c r="B37" s="1" t="n">
        <v>45237</v>
      </c>
      <c r="C37" s="1" t="n">
        <v>45941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2769-2023</t>
        </is>
      </c>
      <c r="B38" s="1" t="n">
        <v>44944</v>
      </c>
      <c r="C38" s="1" t="n">
        <v>45941</v>
      </c>
      <c r="D38" t="inlineStr">
        <is>
          <t>VÄRMLANDS LÄN</t>
        </is>
      </c>
      <c r="E38" t="inlineStr">
        <is>
          <t>HAMMARÖ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42957-2023</t>
        </is>
      </c>
      <c r="B39" s="1" t="n">
        <v>45182</v>
      </c>
      <c r="C39" s="1" t="n">
        <v>45941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2025-10-11T12:35:50Z</dcterms:created>
  <dcterms:modified xmlns:dcterms="http://purl.org/dc/terms/" xmlns:xsi="http://www.w3.org/2001/XMLSchema-instance" xsi:type="dcterms:W3CDTF">2025-10-11T12:35:50Z</dcterms:modified>
</cp:coreProperties>
</file>