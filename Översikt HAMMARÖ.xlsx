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46220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V2">
        <f>HYPERLINK("https://klasma.github.io/Logging_1761/artfynd/S 1549-2026 artfynd.xlsx", "S 1549-2026")</f>
        <v/>
      </c>
      <c r="W2">
        <f>HYPERLINK("https://klasma.github.io/Logging_1761/kartor/S 1549-2026 karta.png", "S 1549-2026")</f>
        <v/>
      </c>
      <c r="Y2">
        <f>HYPERLINK("https://klasma.github.io/Logging_1761/klagomål/S 1549-2026 FSC-klagomål.docx", "S 1549-2026")</f>
        <v/>
      </c>
      <c r="Z2">
        <f>HYPERLINK("https://klasma.github.io/Logging_1761/klagomålsmail/S 1549-2026 FSC-klagomål mail.docx", "S 1549-2026")</f>
        <v/>
      </c>
      <c r="AA2">
        <f>HYPERLINK("https://klasma.github.io/Logging_1761/tillsyn/S 1549-2026 tillsynsbegäran.docx", "S 1549-2026")</f>
        <v/>
      </c>
      <c r="AB2">
        <f>HYPERLINK("https://klasma.github.io/Logging_1761/tillsynsmail/S 1549-2026 tillsynsbegäran mail.docx", "S 1549-2026")</f>
        <v/>
      </c>
      <c r="AC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46220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s="2" t="inlineStr">
        <is>
          <t>Mindre hackspett
Nordfladdermus
Stubbspretmossa
Thomsons trägnagare
Spillkråka
Dvärgpipistrell
Fiskgjuse
Gröngöling
Havsörn
Kungsfågel</t>
        </is>
      </c>
      <c r="V3">
        <f>HYPERLINK("https://klasma.github.io/Logging_1761/artfynd/S 1548-2026 artfynd.xlsx", "S 1548-2026")</f>
        <v/>
      </c>
      <c r="W3">
        <f>HYPERLINK("https://klasma.github.io/Logging_1761/kartor/S 1548-2026 karta.png", "S 1548-2026")</f>
        <v/>
      </c>
      <c r="Y3">
        <f>HYPERLINK("https://klasma.github.io/Logging_1761/klagomål/S 1548-2026 FSC-klagomål.docx", "S 1548-2026")</f>
        <v/>
      </c>
      <c r="Z3">
        <f>HYPERLINK("https://klasma.github.io/Logging_1761/klagomålsmail/S 1548-2026 FSC-klagomål mail.docx", "S 1548-2026")</f>
        <v/>
      </c>
      <c r="AA3">
        <f>HYPERLINK("https://klasma.github.io/Logging_1761/tillsyn/S 1548-2026 tillsynsbegäran.docx", "S 1548-2026")</f>
        <v/>
      </c>
      <c r="AB3">
        <f>HYPERLINK("https://klasma.github.io/Logging_1761/tillsynsmail/S 1548-2026 tillsynsbegäran mail.docx", "S 1548-2026")</f>
        <v/>
      </c>
      <c r="AC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46220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s="2" t="inlineStr">
        <is>
          <t>Knärot
Tallticka
Jättesvampmal
Åkergroda
Kopparödla
Vanlig groda
Vanlig padda</t>
        </is>
      </c>
      <c r="V4">
        <f>HYPERLINK("https://klasma.github.io/Logging_1761/artfynd/A 68622-2021 artfynd.xlsx", "A 68622-2021")</f>
        <v/>
      </c>
      <c r="W4">
        <f>HYPERLINK("https://klasma.github.io/Logging_1761/kartor/A 68622-2021 karta.png", "A 68622-2021")</f>
        <v/>
      </c>
      <c r="X4">
        <f>HYPERLINK("https://klasma.github.io/Logging_1761/knärot/A 68622-2021 karta knärot.png", "A 68622-2021")</f>
        <v/>
      </c>
      <c r="Y4">
        <f>HYPERLINK("https://klasma.github.io/Logging_1761/klagomål/A 68622-2021 FSC-klagomål.docx", "A 68622-2021")</f>
        <v/>
      </c>
      <c r="Z4">
        <f>HYPERLINK("https://klasma.github.io/Logging_1761/klagomålsmail/A 68622-2021 FSC-klagomål mail.docx", "A 68622-2021")</f>
        <v/>
      </c>
      <c r="AA4">
        <f>HYPERLINK("https://klasma.github.io/Logging_1761/tillsyn/A 68622-2021 tillsynsbegäran.docx", "A 68622-2021")</f>
        <v/>
      </c>
      <c r="AB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46220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s="2" t="inlineStr">
        <is>
          <t>Knärot
Ryl
Koralltaggsvamp
Motaggsvamp
Svartvit taggsvamp
Vanlig groda
Vanlig padda</t>
        </is>
      </c>
      <c r="V5">
        <f>HYPERLINK("https://klasma.github.io/Logging_1761/artfynd/S 2492-2022 artfynd.xlsx", "S 2492-2022")</f>
        <v/>
      </c>
      <c r="W5">
        <f>HYPERLINK("https://klasma.github.io/Logging_1761/kartor/S 2492-2022 karta.png", "S 2492-2022")</f>
        <v/>
      </c>
      <c r="X5">
        <f>HYPERLINK("https://klasma.github.io/Logging_1761/knärot/S 2492-2022 karta knärot.png", "S 2492-2022")</f>
        <v/>
      </c>
      <c r="Y5">
        <f>HYPERLINK("https://klasma.github.io/Logging_1761/klagomål/S 2492-2022 FSC-klagomål.docx", "S 2492-2022")</f>
        <v/>
      </c>
      <c r="Z5">
        <f>HYPERLINK("https://klasma.github.io/Logging_1761/klagomålsmail/S 2492-2022 FSC-klagomål mail.docx", "S 2492-2022")</f>
        <v/>
      </c>
      <c r="AA5">
        <f>HYPERLINK("https://klasma.github.io/Logging_1761/tillsyn/S 2492-2022 tillsynsbegäran.docx", "S 2492-2022")</f>
        <v/>
      </c>
      <c r="AB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46220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s="2" t="inlineStr">
        <is>
          <t>Knärot
Blå taggsvamp
Gropticka
Motaggsvamp
Gullgröppa</t>
        </is>
      </c>
      <c r="V6">
        <f>HYPERLINK("https://klasma.github.io/Logging_1761/artfynd/A 61380-2023 artfynd.xlsx", "A 61380-2023")</f>
        <v/>
      </c>
      <c r="W6">
        <f>HYPERLINK("https://klasma.github.io/Logging_1761/kartor/A 61380-2023 karta.png", "A 61380-2023")</f>
        <v/>
      </c>
      <c r="X6">
        <f>HYPERLINK("https://klasma.github.io/Logging_1761/knärot/A 61380-2023 karta knärot.png", "A 61380-2023")</f>
        <v/>
      </c>
      <c r="Y6">
        <f>HYPERLINK("https://klasma.github.io/Logging_1761/klagomål/A 61380-2023 FSC-klagomål.docx", "A 61380-2023")</f>
        <v/>
      </c>
      <c r="Z6">
        <f>HYPERLINK("https://klasma.github.io/Logging_1761/klagomålsmail/A 61380-2023 FSC-klagomål mail.docx", "A 61380-2023")</f>
        <v/>
      </c>
      <c r="AA6">
        <f>HYPERLINK("https://klasma.github.io/Logging_1761/tillsyn/A 61380-2023 tillsynsbegäran.docx", "A 61380-2023")</f>
        <v/>
      </c>
      <c r="AB6">
        <f>HYPERLINK("https://klasma.github.io/Logging_1761/tillsynsmail/A 61380-2023 tillsynsbegäran mail.docx", "A 61380-2023")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46220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s="2" t="inlineStr">
        <is>
          <t>Knärot
Jättesvampmal
Åkergroda
Vanlig groda
Vanlig padda</t>
        </is>
      </c>
      <c r="V7">
        <f>HYPERLINK("https://klasma.github.io/Logging_1761/artfynd/A 3573-2026 artfynd.xlsx", "A 3573-2026")</f>
        <v/>
      </c>
      <c r="W7">
        <f>HYPERLINK("https://klasma.github.io/Logging_1761/kartor/A 3573-2026 karta.png", "A 3573-2026")</f>
        <v/>
      </c>
      <c r="X7">
        <f>HYPERLINK("https://klasma.github.io/Logging_1761/knärot/A 3573-2026 karta knärot.png", "A 3573-2026")</f>
        <v/>
      </c>
      <c r="Y7">
        <f>HYPERLINK("https://klasma.github.io/Logging_1761/klagomål/A 3573-2026 FSC-klagomål.docx", "A 3573-2026")</f>
        <v/>
      </c>
      <c r="Z7">
        <f>HYPERLINK("https://klasma.github.io/Logging_1761/klagomålsmail/A 3573-2026 FSC-klagomål mail.docx", "A 3573-2026")</f>
        <v/>
      </c>
      <c r="AA7">
        <f>HYPERLINK("https://klasma.github.io/Logging_1761/tillsyn/A 3573-2026 tillsynsbegäran.docx", "A 3573-2026")</f>
        <v/>
      </c>
      <c r="AB7">
        <f>HYPERLINK("https://klasma.github.io/Logging_1761/tillsynsmail/A 3573-2026 tillsynsbegäran mail.docx", "A 3573-2026")</f>
        <v/>
      </c>
    </row>
    <row r="8" ht="15" customHeight="1">
      <c r="A8" t="inlineStr">
        <is>
          <t>A 47571-2025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45931</v>
      </c>
      <c r="E8" s="1" t="n">
        <v>46220</v>
      </c>
      <c r="F8" t="inlineStr">
        <is>
          <t>VÄRMLANDS LÄN</t>
        </is>
      </c>
      <c r="G8" t="inlineStr">
        <is>
          <t>HAMMARÖ</t>
        </is>
      </c>
      <c r="I8" t="n">
        <v>8.300000000000001</v>
      </c>
      <c r="J8" t="n">
        <v>4</v>
      </c>
      <c r="K8" t="n">
        <v>0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5</v>
      </c>
      <c r="T8" t="n">
        <v>11</v>
      </c>
      <c r="U8" s="2" t="inlineStr">
        <is>
          <t>Långskägg
Knärot
Motaggsvamp
Tjäder
Kungsfågel</t>
        </is>
      </c>
      <c r="V8">
        <f>HYPERLINK("https://klasma.github.io/Logging_1761/artfynd/A 47571-2025 artfynd.xlsx", "A 47571-2025")</f>
        <v/>
      </c>
      <c r="W8">
        <f>HYPERLINK("https://klasma.github.io/Logging_1761/kartor/A 47571-2025 karta.png", "A 47571-2025")</f>
        <v/>
      </c>
      <c r="X8">
        <f>HYPERLINK("https://klasma.github.io/Logging_1761/knärot/A 47571-2025 karta knärot.png", "A 47571-2025")</f>
        <v/>
      </c>
      <c r="Y8">
        <f>HYPERLINK("https://klasma.github.io/Logging_1761/klagomål/A 47571-2025 FSC-klagomål.docx", "A 47571-2025")</f>
        <v/>
      </c>
      <c r="Z8">
        <f>HYPERLINK("https://klasma.github.io/Logging_1761/klagomålsmail/A 47571-2025 FSC-klagomål mail.docx", "A 47571-2025")</f>
        <v/>
      </c>
      <c r="AA8">
        <f>HYPERLINK("https://klasma.github.io/Logging_1761/tillsyn/A 47571-2025 tillsynsbegäran.docx", "A 47571-2025")</f>
        <v/>
      </c>
      <c r="AB8">
        <f>HYPERLINK("https://klasma.github.io/Logging_1761/tillsynsmail/A 47571-2025 tillsynsbegäran mail.docx", "A 47571-2025")</f>
        <v/>
      </c>
      <c r="AC8">
        <f>HYPERLINK("https://klasma.github.io/Logging_1761/fåglar/A 47571-2025 prioriterade fågelarter.docx", "A 47571-2025")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46220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s="2" t="inlineStr">
        <is>
          <t>Knärot
Tretåig hackspett
Spillkråka</t>
        </is>
      </c>
      <c r="V9">
        <f>HYPERLINK("https://klasma.github.io/Logging_1761/artfynd/A 24616-2022 artfynd.xlsx", "A 24616-2022")</f>
        <v/>
      </c>
      <c r="W9">
        <f>HYPERLINK("https://klasma.github.io/Logging_1761/kartor/A 24616-2022 karta.png", "A 24616-2022")</f>
        <v/>
      </c>
      <c r="X9">
        <f>HYPERLINK("https://klasma.github.io/Logging_1761/knärot/A 24616-2022 karta knärot.png", "A 24616-2022")</f>
        <v/>
      </c>
      <c r="Y9">
        <f>HYPERLINK("https://klasma.github.io/Logging_1761/klagomål/A 24616-2022 FSC-klagomål.docx", "A 24616-2022")</f>
        <v/>
      </c>
      <c r="Z9">
        <f>HYPERLINK("https://klasma.github.io/Logging_1761/klagomålsmail/A 24616-2022 FSC-klagomål mail.docx", "A 24616-2022")</f>
        <v/>
      </c>
      <c r="AA9">
        <f>HYPERLINK("https://klasma.github.io/Logging_1761/tillsyn/A 24616-2022 tillsynsbegäran.docx", "A 24616-2022")</f>
        <v/>
      </c>
      <c r="AB9">
        <f>HYPERLINK("https://klasma.github.io/Logging_1761/tillsynsmail/A 24616-2022 tillsynsbegäran mail.docx", "A 24616-2022")</f>
        <v/>
      </c>
      <c r="AC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46220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Svart skogssnigel
Spillkråka</t>
        </is>
      </c>
      <c r="V10">
        <f>HYPERLINK("https://klasma.github.io/Logging_1761/artfynd/A 24618-2022 artfynd.xlsx", "A 24618-2022")</f>
        <v/>
      </c>
      <c r="W10">
        <f>HYPERLINK("https://klasma.github.io/Logging_1761/kartor/A 24618-2022 karta.png", "A 24618-2022")</f>
        <v/>
      </c>
      <c r="X10">
        <f>HYPERLINK("https://klasma.github.io/Logging_1761/knärot/A 24618-2022 karta knärot.png", "A 24618-2022")</f>
        <v/>
      </c>
      <c r="Y10">
        <f>HYPERLINK("https://klasma.github.io/Logging_1761/klagomål/A 24618-2022 FSC-klagomål.docx", "A 24618-2022")</f>
        <v/>
      </c>
      <c r="Z10">
        <f>HYPERLINK("https://klasma.github.io/Logging_1761/klagomålsmail/A 24618-2022 FSC-klagomål mail.docx", "A 24618-2022")</f>
        <v/>
      </c>
      <c r="AA10">
        <f>HYPERLINK("https://klasma.github.io/Logging_1761/tillsyn/A 24618-2022 tillsynsbegäran.docx", "A 24618-2022")</f>
        <v/>
      </c>
      <c r="AB10">
        <f>HYPERLINK("https://klasma.github.io/Logging_1761/tillsynsmail/A 24618-2022 tillsynsbegäran mail.docx", "A 24618-2022")</f>
        <v/>
      </c>
      <c r="AC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46220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HYPERLINK("https://klasma.github.io/Logging_1761/artfynd/S 3217-2025 artfynd.xlsx", "S 3217-2025")</f>
        <v/>
      </c>
      <c r="W11">
        <f>HYPERLINK("https://klasma.github.io/Logging_1761/kartor/S 3217-2025 karta.png", "S 3217-2025")</f>
        <v/>
      </c>
      <c r="X11">
        <f>HYPERLINK("https://klasma.github.io/Logging_1761/knärot/S 3217-2025 karta knärot.png", "S 3217-2025")</f>
        <v/>
      </c>
      <c r="Y11">
        <f>HYPERLINK("https://klasma.github.io/Logging_1761/klagomål/S 3217-2025 FSC-klagomål.docx", "S 3217-2025")</f>
        <v/>
      </c>
      <c r="Z11">
        <f>HYPERLINK("https://klasma.github.io/Logging_1761/klagomålsmail/S 3217-2025 FSC-klagomål mail.docx", "S 3217-2025")</f>
        <v/>
      </c>
      <c r="AA11">
        <f>HYPERLINK("https://klasma.github.io/Logging_1761/tillsyn/S 3217-2025 tillsynsbegäran.docx", "S 3217-2025")</f>
        <v/>
      </c>
      <c r="AB11">
        <f>HYPERLINK("https://klasma.github.io/Logging_1761/tillsynsmail/S 3217-2025 tillsynsbegäran mail.docx", "S 3217-2025")</f>
        <v/>
      </c>
      <c r="AC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46220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Grönsiska</t>
        </is>
      </c>
      <c r="V12">
        <f>HYPERLINK("https://klasma.github.io/Logging_1761/artfynd/A 41899-2023 artfynd.xlsx", "A 41899-2023")</f>
        <v/>
      </c>
      <c r="W12">
        <f>HYPERLINK("https://klasma.github.io/Logging_1761/kartor/A 41899-2023 karta.png", "A 41899-2023")</f>
        <v/>
      </c>
      <c r="Y12">
        <f>HYPERLINK("https://klasma.github.io/Logging_1761/klagomål/A 41899-2023 FSC-klagomål.docx", "A 41899-2023")</f>
        <v/>
      </c>
      <c r="Z12">
        <f>HYPERLINK("https://klasma.github.io/Logging_1761/klagomålsmail/A 41899-2023 FSC-klagomål mail.docx", "A 41899-2023")</f>
        <v/>
      </c>
      <c r="AA12">
        <f>HYPERLINK("https://klasma.github.io/Logging_1761/tillsyn/A 41899-2023 tillsynsbegäran.docx", "A 41899-2023")</f>
        <v/>
      </c>
      <c r="AB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46220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s="2" t="inlineStr">
        <is>
          <t>Knärot</t>
        </is>
      </c>
      <c r="V13">
        <f>HYPERLINK("https://klasma.github.io/Logging_1761/artfynd/A 58382-2024 artfynd.xlsx", "A 58382-2024")</f>
        <v/>
      </c>
      <c r="W13">
        <f>HYPERLINK("https://klasma.github.io/Logging_1761/kartor/A 58382-2024 karta.png", "A 58382-2024")</f>
        <v/>
      </c>
      <c r="X13">
        <f>HYPERLINK("https://klasma.github.io/Logging_1761/knärot/A 58382-2024 karta knärot.png", "A 58382-2024")</f>
        <v/>
      </c>
      <c r="Y13">
        <f>HYPERLINK("https://klasma.github.io/Logging_1761/klagomål/A 58382-2024 FSC-klagomål.docx", "A 58382-2024")</f>
        <v/>
      </c>
      <c r="Z13">
        <f>HYPERLINK("https://klasma.github.io/Logging_1761/klagomålsmail/A 58382-2024 FSC-klagomål mail.docx", "A 58382-2024")</f>
        <v/>
      </c>
      <c r="AA13">
        <f>HYPERLINK("https://klasma.github.io/Logging_1761/tillsyn/A 58382-2024 tillsynsbegäran.docx", "A 58382-2024")</f>
        <v/>
      </c>
      <c r="AB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46220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Vanlig groda</t>
        </is>
      </c>
      <c r="V14">
        <f>HYPERLINK("https://klasma.github.io/Logging_1761/artfynd/A 53276-2023 artfynd.xlsx", "A 53276-2023")</f>
        <v/>
      </c>
      <c r="W14">
        <f>HYPERLINK("https://klasma.github.io/Logging_1761/kartor/A 53276-2023 karta.png", "A 53276-2023")</f>
        <v/>
      </c>
      <c r="Y14">
        <f>HYPERLINK("https://klasma.github.io/Logging_1761/klagomål/A 53276-2023 FSC-klagomål.docx", "A 53276-2023")</f>
        <v/>
      </c>
      <c r="Z14">
        <f>HYPERLINK("https://klasma.github.io/Logging_1761/klagomålsmail/A 53276-2023 FSC-klagomål mail.docx", "A 53276-2023")</f>
        <v/>
      </c>
      <c r="AA14">
        <f>HYPERLINK("https://klasma.github.io/Logging_1761/tillsyn/A 53276-2023 tillsynsbegäran.docx", "A 53276-2023")</f>
        <v/>
      </c>
      <c r="AB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46220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Motaggsvamp</t>
        </is>
      </c>
      <c r="V15">
        <f>HYPERLINK("https://klasma.github.io/Logging_1761/artfynd/A 2769-2023 artfynd.xlsx", "A 2769-2023")</f>
        <v/>
      </c>
      <c r="W15">
        <f>HYPERLINK("https://klasma.github.io/Logging_1761/kartor/A 2769-2023 karta.png", "A 2769-2023")</f>
        <v/>
      </c>
      <c r="Y15">
        <f>HYPERLINK("https://klasma.github.io/Logging_1761/klagomål/A 2769-2023 FSC-klagomål.docx", "A 2769-2023")</f>
        <v/>
      </c>
      <c r="Z15">
        <f>HYPERLINK("https://klasma.github.io/Logging_1761/klagomålsmail/A 2769-2023 FSC-klagomål mail.docx", "A 2769-2023")</f>
        <v/>
      </c>
      <c r="AA15">
        <f>HYPERLINK("https://klasma.github.io/Logging_1761/tillsyn/A 2769-2023 tillsynsbegäran.docx", "A 2769-2023")</f>
        <v/>
      </c>
      <c r="AB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46220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Motaggsvamp</t>
        </is>
      </c>
      <c r="V16">
        <f>HYPERLINK("https://klasma.github.io/Logging_1761/artfynd/A 55068-2023 artfynd.xlsx", "A 55068-2023")</f>
        <v/>
      </c>
      <c r="W16">
        <f>HYPERLINK("https://klasma.github.io/Logging_1761/kartor/A 55068-2023 karta.png", "A 55068-2023")</f>
        <v/>
      </c>
      <c r="Y16">
        <f>HYPERLINK("https://klasma.github.io/Logging_1761/klagomål/A 55068-2023 FSC-klagomål.docx", "A 55068-2023")</f>
        <v/>
      </c>
      <c r="Z16">
        <f>HYPERLINK("https://klasma.github.io/Logging_1761/klagomålsmail/A 55068-2023 FSC-klagomål mail.docx", "A 55068-2023")</f>
        <v/>
      </c>
      <c r="AA16">
        <f>HYPERLINK("https://klasma.github.io/Logging_1761/tillsyn/A 55068-2023 tillsynsbegäran.docx", "A 55068-2023")</f>
        <v/>
      </c>
      <c r="AB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46220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46220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46220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46220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46220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46220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46220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46220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46220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46220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46220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46220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46220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46220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46220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46220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46220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2026-07-17T01:44:35Z</dcterms:created>
  <dcterms:modified xmlns:dcterms="http://purl.org/dc/terms/" xmlns:xsi="http://www.w3.org/2001/XMLSchema-instance" xsi:type="dcterms:W3CDTF">2026-07-17T01:44:35Z</dcterms:modified>
</cp:coreProperties>
</file>