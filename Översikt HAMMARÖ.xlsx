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45976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45976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45976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45976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53276-2023</t>
        </is>
      </c>
      <c r="B6" s="1" t="n">
        <v>45229</v>
      </c>
      <c r="C6" s="1" t="n">
        <v>45976</v>
      </c>
      <c r="D6" t="inlineStr">
        <is>
          <t>VÄRMLANDS LÄN</t>
        </is>
      </c>
      <c r="E6" t="inlineStr">
        <is>
          <t>HAMMARÖ</t>
        </is>
      </c>
      <c r="F6" t="inlineStr">
        <is>
          <t>Övriga Aktiebolag</t>
        </is>
      </c>
      <c r="G6" t="n">
        <v>0.3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flugsnappare
Vanlig groda</t>
        </is>
      </c>
      <c r="S6">
        <f>HYPERLINK("https://klasma.github.io/Logging_1761/artfynd/A 53276-2023 artfynd.xlsx", "A 53276-2023")</f>
        <v/>
      </c>
      <c r="T6">
        <f>HYPERLINK("https://klasma.github.io/Logging_1761/kartor/A 53276-2023 karta.png", "A 53276-2023")</f>
        <v/>
      </c>
      <c r="V6">
        <f>HYPERLINK("https://klasma.github.io/Logging_1761/klagomål/A 53276-2023 FSC-klagomål.docx", "A 53276-2023")</f>
        <v/>
      </c>
      <c r="W6">
        <f>HYPERLINK("https://klasma.github.io/Logging_1761/klagomålsmail/A 53276-2023 FSC-klagomål mail.docx", "A 53276-2023")</f>
        <v/>
      </c>
      <c r="X6">
        <f>HYPERLINK("https://klasma.github.io/Logging_1761/tillsyn/A 53276-2023 tillsynsbegäran.docx", "A 53276-2023")</f>
        <v/>
      </c>
      <c r="Y6">
        <f>HYPERLINK("https://klasma.github.io/Logging_1761/tillsynsmail/A 53276-2023 tillsynsbegäran mail.docx", "A 53276-2023")</f>
        <v/>
      </c>
      <c r="Z6">
        <f>HYPERLINK("https://klasma.github.io/Logging_1761/fåglar/A 53276-2023 prioriterade fågelarter.docx", "A 53276-2023")</f>
        <v/>
      </c>
    </row>
    <row r="7" ht="15" customHeight="1">
      <c r="A7" t="inlineStr">
        <is>
          <t>A 10795-2025</t>
        </is>
      </c>
      <c r="B7" s="1" t="n">
        <v>45722</v>
      </c>
      <c r="C7" s="1" t="n">
        <v>45976</v>
      </c>
      <c r="D7" t="inlineStr">
        <is>
          <t>VÄRMLANDS LÄN</t>
        </is>
      </c>
      <c r="E7" t="inlineStr">
        <is>
          <t>HAMMARÖ</t>
        </is>
      </c>
      <c r="G7" t="n">
        <v>0.7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Guldkremla</t>
        </is>
      </c>
      <c r="S7">
        <f>HYPERLINK("https://klasma.github.io/Logging_1761/artfynd/A 10795-2025 artfynd.xlsx", "A 10795-2025")</f>
        <v/>
      </c>
      <c r="T7">
        <f>HYPERLINK("https://klasma.github.io/Logging_1761/kartor/A 10795-2025 karta.png", "A 10795-2025")</f>
        <v/>
      </c>
      <c r="V7">
        <f>HYPERLINK("https://klasma.github.io/Logging_1761/klagomål/A 10795-2025 FSC-klagomål.docx", "A 10795-2025")</f>
        <v/>
      </c>
      <c r="W7">
        <f>HYPERLINK("https://klasma.github.io/Logging_1761/klagomålsmail/A 10795-2025 FSC-klagomål mail.docx", "A 10795-2025")</f>
        <v/>
      </c>
      <c r="X7">
        <f>HYPERLINK("https://klasma.github.io/Logging_1761/tillsyn/A 10795-2025 tillsynsbegäran.docx", "A 10795-2025")</f>
        <v/>
      </c>
      <c r="Y7">
        <f>HYPERLINK("https://klasma.github.io/Logging_1761/tillsynsmail/A 10795-2025 tillsynsbegäran mail.docx", "A 10795-2025")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45976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45976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45976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45976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45976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45407-2025</t>
        </is>
      </c>
      <c r="B13" s="1" t="n">
        <v>45922</v>
      </c>
      <c r="C13" s="1" t="n">
        <v>45976</v>
      </c>
      <c r="D13" t="inlineStr">
        <is>
          <t>VÄRMLANDS LÄN</t>
        </is>
      </c>
      <c r="E13" t="inlineStr">
        <is>
          <t>HAMMARÖ</t>
        </is>
      </c>
      <c r="G13" t="n">
        <v>11.6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HYPERLINK("https://klasma.github.io/Logging_1761/artfynd/A 45407-2025 artfynd.xlsx", "A 45407-2025")</f>
        <v/>
      </c>
      <c r="T13">
        <f>HYPERLINK("https://klasma.github.io/Logging_1761/kartor/A 45407-2025 karta.png", "A 45407-2025")</f>
        <v/>
      </c>
      <c r="V13">
        <f>HYPERLINK("https://klasma.github.io/Logging_1761/klagomål/A 45407-2025 FSC-klagomål.docx", "A 45407-2025")</f>
        <v/>
      </c>
      <c r="W13">
        <f>HYPERLINK("https://klasma.github.io/Logging_1761/klagomålsmail/A 45407-2025 FSC-klagomål mail.docx", "A 45407-2025")</f>
        <v/>
      </c>
      <c r="X13">
        <f>HYPERLINK("https://klasma.github.io/Logging_1761/tillsyn/A 45407-2025 tillsynsbegäran.docx", "A 45407-2025")</f>
        <v/>
      </c>
      <c r="Y13">
        <f>HYPERLINK("https://klasma.github.io/Logging_1761/tillsynsmail/A 45407-2025 tillsynsbegäran mail.docx", "A 45407-2025")</f>
        <v/>
      </c>
    </row>
    <row r="14" ht="15" customHeight="1">
      <c r="A14" t="inlineStr">
        <is>
          <t>A 62608-2020</t>
        </is>
      </c>
      <c r="B14" s="1" t="n">
        <v>44161</v>
      </c>
      <c r="C14" s="1" t="n">
        <v>45976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16890-2021</t>
        </is>
      </c>
      <c r="B15" s="1" t="n">
        <v>44295</v>
      </c>
      <c r="C15" s="1" t="n">
        <v>45976</v>
      </c>
      <c r="D15" t="inlineStr">
        <is>
          <t>VÄRMLANDS LÄN</t>
        </is>
      </c>
      <c r="E15" t="inlineStr">
        <is>
          <t>HAMMARÖ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45976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45976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37934-2024</t>
        </is>
      </c>
      <c r="B18" s="1" t="n">
        <v>45544</v>
      </c>
      <c r="C18" s="1" t="n">
        <v>45976</v>
      </c>
      <c r="D18" t="inlineStr">
        <is>
          <t>VÄRMLANDS LÄN</t>
        </is>
      </c>
      <c r="E18" t="inlineStr">
        <is>
          <t>HAMMARÖ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56799-2022</t>
        </is>
      </c>
      <c r="B19" s="1" t="n">
        <v>44894.425625</v>
      </c>
      <c r="C19" s="1" t="n">
        <v>45976</v>
      </c>
      <c r="D19" t="inlineStr">
        <is>
          <t>VÄRMLANDS LÄN</t>
        </is>
      </c>
      <c r="E19" t="inlineStr">
        <is>
          <t>HAMMARÖ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42957-2023</t>
        </is>
      </c>
      <c r="B20" s="1" t="n">
        <v>45182</v>
      </c>
      <c r="C20" s="1" t="n">
        <v>45976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45976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62456-2020</t>
        </is>
      </c>
      <c r="B22" s="1" t="n">
        <v>44160</v>
      </c>
      <c r="C22" s="1" t="n">
        <v>45976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41899-2023</t>
        </is>
      </c>
      <c r="B23" s="1" t="n">
        <v>45176</v>
      </c>
      <c r="C23" s="1" t="n">
        <v>45976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42951-2023</t>
        </is>
      </c>
      <c r="B24" s="1" t="n">
        <v>45182</v>
      </c>
      <c r="C24" s="1" t="n">
        <v>45976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55066-2023</t>
        </is>
      </c>
      <c r="B25" s="1" t="n">
        <v>45237</v>
      </c>
      <c r="C25" s="1" t="n">
        <v>45976</v>
      </c>
      <c r="D25" t="inlineStr">
        <is>
          <t>VÄRMLANDS LÄN</t>
        </is>
      </c>
      <c r="E25" t="inlineStr">
        <is>
          <t>HAMMARÖ</t>
        </is>
      </c>
      <c r="F25" t="inlineStr">
        <is>
          <t>Kommuner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53369-2024</t>
        </is>
      </c>
      <c r="B26" s="1" t="n">
        <v>45614</v>
      </c>
      <c r="C26" s="1" t="n">
        <v>45976</v>
      </c>
      <c r="D26" t="inlineStr">
        <is>
          <t>VÄRMLANDS LÄN</t>
        </is>
      </c>
      <c r="E26" t="inlineStr">
        <is>
          <t>HAMMARÖ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57893-2023</t>
        </is>
      </c>
      <c r="B27" s="1" t="n">
        <v>45247</v>
      </c>
      <c r="C27" s="1" t="n">
        <v>45976</v>
      </c>
      <c r="D27" t="inlineStr">
        <is>
          <t>VÄRMLANDS LÄN</t>
        </is>
      </c>
      <c r="E27" t="inlineStr">
        <is>
          <t>HAMMARÖ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58383-2024</t>
        </is>
      </c>
      <c r="B28" s="1" t="n">
        <v>45632</v>
      </c>
      <c r="C28" s="1" t="n">
        <v>45976</v>
      </c>
      <c r="D28" t="inlineStr">
        <is>
          <t>VÄRMLANDS LÄN</t>
        </is>
      </c>
      <c r="E28" t="inlineStr">
        <is>
          <t>HAMMARÖ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2769-2023</t>
        </is>
      </c>
      <c r="B29" s="1" t="n">
        <v>44944</v>
      </c>
      <c r="C29" s="1" t="n">
        <v>45976</v>
      </c>
      <c r="D29" t="inlineStr">
        <is>
          <t>VÄRMLANDS LÄN</t>
        </is>
      </c>
      <c r="E29" t="inlineStr">
        <is>
          <t>HAMMARÖ</t>
        </is>
      </c>
      <c r="G29" t="n">
        <v>8.699999999999999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42955-2023</t>
        </is>
      </c>
      <c r="B30" s="1" t="n">
        <v>45182</v>
      </c>
      <c r="C30" s="1" t="n">
        <v>45976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42960-2023</t>
        </is>
      </c>
      <c r="B31" s="1" t="n">
        <v>45182</v>
      </c>
      <c r="C31" s="1" t="n">
        <v>45976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55069-2023</t>
        </is>
      </c>
      <c r="B32" s="1" t="n">
        <v>45237</v>
      </c>
      <c r="C32" s="1" t="n">
        <v>45976</v>
      </c>
      <c r="D32" t="inlineStr">
        <is>
          <t>VÄRMLANDS LÄN</t>
        </is>
      </c>
      <c r="E32" t="inlineStr">
        <is>
          <t>HAMMARÖ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45423-2025</t>
        </is>
      </c>
      <c r="B33" s="1" t="n">
        <v>45922.45137731481</v>
      </c>
      <c r="C33" s="1" t="n">
        <v>45976</v>
      </c>
      <c r="D33" t="inlineStr">
        <is>
          <t>VÄRMLANDS LÄN</t>
        </is>
      </c>
      <c r="E33" t="inlineStr">
        <is>
          <t>HAMMARÖ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41661-2025</t>
        </is>
      </c>
      <c r="B34" s="1" t="n">
        <v>45902</v>
      </c>
      <c r="C34" s="1" t="n">
        <v>45976</v>
      </c>
      <c r="D34" t="inlineStr">
        <is>
          <t>VÄRMLANDS LÄN</t>
        </is>
      </c>
      <c r="E34" t="inlineStr">
        <is>
          <t>HAMMARÖ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51008-2023</t>
        </is>
      </c>
      <c r="B35" s="1" t="n">
        <v>45218</v>
      </c>
      <c r="C35" s="1" t="n">
        <v>45976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10793-2025</t>
        </is>
      </c>
      <c r="B36" s="1" t="n">
        <v>45722</v>
      </c>
      <c r="C36" s="1" t="n">
        <v>45976</v>
      </c>
      <c r="D36" t="inlineStr">
        <is>
          <t>VÄRMLANDS LÄN</t>
        </is>
      </c>
      <c r="E36" t="inlineStr">
        <is>
          <t>HAMMARÖ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41895-2023</t>
        </is>
      </c>
      <c r="B37" s="1" t="n">
        <v>45176</v>
      </c>
      <c r="C37" s="1" t="n">
        <v>45976</v>
      </c>
      <c r="D37" t="inlineStr">
        <is>
          <t>VÄRMLANDS LÄN</t>
        </is>
      </c>
      <c r="E37" t="inlineStr">
        <is>
          <t>HAMMARÖ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13354-2022</t>
        </is>
      </c>
      <c r="B38" s="1" t="n">
        <v>44645</v>
      </c>
      <c r="C38" s="1" t="n">
        <v>45976</v>
      </c>
      <c r="D38" t="inlineStr">
        <is>
          <t>VÄRMLANDS LÄN</t>
        </is>
      </c>
      <c r="E38" t="inlineStr">
        <is>
          <t>HAMMARÖ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2025-11-15T10:14:00Z</dcterms:created>
  <dcterms:modified xmlns:dcterms="http://purl.org/dc/terms/" xmlns:xsi="http://www.w3.org/2001/XMLSchema-instance" xsi:type="dcterms:W3CDTF">2025-11-15T10:14:00Z</dcterms:modified>
</cp:coreProperties>
</file>