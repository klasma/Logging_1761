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46198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46198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46198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Långskägg
Knärot
Motaggsvamp
Tjäder
Kungsfågel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3573-2026</t>
        </is>
      </c>
      <c r="B5" s="1" t="n">
        <v>46042</v>
      </c>
      <c r="C5" s="1" t="n">
        <v>46198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Jättesvampmal
Åkergroda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46198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Tretåig hackspett
Spillkråka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46198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Älg
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46198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skogssnigel
Spillkråka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  <c r="Z8">
        <f>HYPERLINK("https://klasma.github.io/Logging_1761/fåglar/A 24618-2022 prioriterade fågelarter.docx", "A 24618-2022")</f>
        <v/>
      </c>
    </row>
    <row r="9" ht="15" customHeight="1">
      <c r="A9" t="inlineStr">
        <is>
          <t>A 41899-2023</t>
        </is>
      </c>
      <c r="B9" s="1" t="n">
        <v>45176</v>
      </c>
      <c r="C9" s="1" t="n">
        <v>46198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Grönsiska</t>
        </is>
      </c>
      <c r="S9">
        <f>HYPERLINK("https://klasma.github.io/Logging_1761/artfynd/A 41899-2023 artfynd.xlsx", "A 41899-2023")</f>
        <v/>
      </c>
      <c r="T9">
        <f>HYPERLINK("https://klasma.github.io/Logging_1761/kartor/A 41899-2023 karta.png", "A 41899-2023")</f>
        <v/>
      </c>
      <c r="V9">
        <f>HYPERLINK("https://klasma.github.io/Logging_1761/klagomål/A 41899-2023 FSC-klagomål.docx", "A 41899-2023")</f>
        <v/>
      </c>
      <c r="W9">
        <f>HYPERLINK("https://klasma.github.io/Logging_1761/klagomålsmail/A 41899-2023 FSC-klagomål mail.docx", "A 41899-2023")</f>
        <v/>
      </c>
      <c r="X9">
        <f>HYPERLINK("https://klasma.github.io/Logging_1761/tillsyn/A 41899-2023 tillsynsbegäran.docx", "A 41899-2023")</f>
        <v/>
      </c>
      <c r="Y9">
        <f>HYPERLINK("https://klasma.github.io/Logging_1761/tillsynsmail/A 41899-2023 tillsynsbegäran mail.docx", "A 41899-2023")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46198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46198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</row>
    <row r="12" ht="15" customHeight="1">
      <c r="A12" t="inlineStr">
        <is>
          <t>A 2769-2023</t>
        </is>
      </c>
      <c r="B12" s="1" t="n">
        <v>44944</v>
      </c>
      <c r="C12" s="1" t="n">
        <v>46198</v>
      </c>
      <c r="D12" t="inlineStr">
        <is>
          <t>VÄRMLANDS LÄN</t>
        </is>
      </c>
      <c r="E12" t="inlineStr">
        <is>
          <t>HAMMARÖ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2769-2023 artfynd.xlsx", "A 2769-2023")</f>
        <v/>
      </c>
      <c r="T12">
        <f>HYPERLINK("https://klasma.github.io/Logging_1761/kartor/A 2769-2023 karta.png", "A 2769-2023")</f>
        <v/>
      </c>
      <c r="V12">
        <f>HYPERLINK("https://klasma.github.io/Logging_1761/klagomål/A 2769-2023 FSC-klagomål.docx", "A 2769-2023")</f>
        <v/>
      </c>
      <c r="W12">
        <f>HYPERLINK("https://klasma.github.io/Logging_1761/klagomålsmail/A 2769-2023 FSC-klagomål mail.docx", "A 2769-2023")</f>
        <v/>
      </c>
      <c r="X12">
        <f>HYPERLINK("https://klasma.github.io/Logging_1761/tillsyn/A 2769-2023 tillsynsbegäran.docx", "A 2769-2023")</f>
        <v/>
      </c>
      <c r="Y12">
        <f>HYPERLINK("https://klasma.github.io/Logging_1761/tillsynsmail/A 2769-2023 tillsynsbegäran mail.docx", "A 2769-2023")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46198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56835-2021</t>
        </is>
      </c>
      <c r="B14" s="1" t="n">
        <v>44481</v>
      </c>
      <c r="C14" s="1" t="n">
        <v>46198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46198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</v>
      </c>
      <c r="C16" s="1" t="n">
        <v>46198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46198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46198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46198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42955-2023</t>
        </is>
      </c>
      <c r="B20" s="1" t="n">
        <v>45182</v>
      </c>
      <c r="C20" s="1" t="n">
        <v>46198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42960-2023</t>
        </is>
      </c>
      <c r="B21" s="1" t="n">
        <v>45182</v>
      </c>
      <c r="C21" s="1" t="n">
        <v>46198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55069-2023</t>
        </is>
      </c>
      <c r="B22" s="1" t="n">
        <v>45237</v>
      </c>
      <c r="C22" s="1" t="n">
        <v>46198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51008-2023</t>
        </is>
      </c>
      <c r="B23" s="1" t="n">
        <v>45218</v>
      </c>
      <c r="C23" s="1" t="n">
        <v>46198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46198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13354-2022</t>
        </is>
      </c>
      <c r="B25" s="1" t="n">
        <v>44645</v>
      </c>
      <c r="C25" s="1" t="n">
        <v>46198</v>
      </c>
      <c r="D25" t="inlineStr">
        <is>
          <t>VÄRMLANDS LÄN</t>
        </is>
      </c>
      <c r="E25" t="inlineStr">
        <is>
          <t>HAMMARÖ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37934-2024</t>
        </is>
      </c>
      <c r="B26" s="1" t="n">
        <v>45544</v>
      </c>
      <c r="C26" s="1" t="n">
        <v>46198</v>
      </c>
      <c r="D26" t="inlineStr">
        <is>
          <t>VÄRMLANDS LÄN</t>
        </is>
      </c>
      <c r="E26" t="inlineStr">
        <is>
          <t>HAMMARÖ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56799-2022</t>
        </is>
      </c>
      <c r="B27" s="1" t="n">
        <v>44894</v>
      </c>
      <c r="C27" s="1" t="n">
        <v>46198</v>
      </c>
      <c r="D27" t="inlineStr">
        <is>
          <t>VÄRMLANDS LÄN</t>
        </is>
      </c>
      <c r="E27" t="inlineStr">
        <is>
          <t>HAMMARÖ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13356-2022</t>
        </is>
      </c>
      <c r="B28" s="1" t="n">
        <v>44645</v>
      </c>
      <c r="C28" s="1" t="n">
        <v>46198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42951-2023</t>
        </is>
      </c>
      <c r="B29" s="1" t="n">
        <v>45182</v>
      </c>
      <c r="C29" s="1" t="n">
        <v>46198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57893-2023</t>
        </is>
      </c>
      <c r="B30" s="1" t="n">
        <v>45247</v>
      </c>
      <c r="C30" s="1" t="n">
        <v>46198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2026-06-25T00:46:51Z</dcterms:created>
  <dcterms:modified xmlns:dcterms="http://purl.org/dc/terms/" xmlns:xsi="http://www.w3.org/2001/XMLSchema-instance" xsi:type="dcterms:W3CDTF">2026-06-25T00:46:51Z</dcterms:modified>
</cp:coreProperties>
</file>