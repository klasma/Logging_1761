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46164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46164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46164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3573-2026</t>
        </is>
      </c>
      <c r="B5" s="1" t="n">
        <v>46042.69962962963</v>
      </c>
      <c r="C5" s="1" t="n">
        <v>46164</v>
      </c>
      <c r="D5" t="inlineStr">
        <is>
          <t>VÄRMLANDS LÄN</t>
        </is>
      </c>
      <c r="E5" t="inlineStr">
        <is>
          <t>HAMMARÖ</t>
        </is>
      </c>
      <c r="G5" t="n">
        <v>4.3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Vanlig groda
Vanlig padda</t>
        </is>
      </c>
      <c r="S5">
        <f>HYPERLINK("https://klasma.github.io/Logging_1761/artfynd/A 3573-2026 artfynd.xlsx", "A 3573-2026")</f>
        <v/>
      </c>
      <c r="T5">
        <f>HYPERLINK("https://klasma.github.io/Logging_1761/kartor/A 3573-2026 karta.png", "A 3573-2026")</f>
        <v/>
      </c>
      <c r="U5">
        <f>HYPERLINK("https://klasma.github.io/Logging_1761/knärot/A 3573-2026 karta knärot.png", "A 3573-2026")</f>
        <v/>
      </c>
      <c r="V5">
        <f>HYPERLINK("https://klasma.github.io/Logging_1761/klagomål/A 3573-2026 FSC-klagomål.docx", "A 3573-2026")</f>
        <v/>
      </c>
      <c r="W5">
        <f>HYPERLINK("https://klasma.github.io/Logging_1761/klagomålsmail/A 3573-2026 FSC-klagomål mail.docx", "A 3573-2026")</f>
        <v/>
      </c>
      <c r="X5">
        <f>HYPERLINK("https://klasma.github.io/Logging_1761/tillsyn/A 3573-2026 tillsynsbegäran.docx", "A 3573-2026")</f>
        <v/>
      </c>
      <c r="Y5">
        <f>HYPERLINK("https://klasma.github.io/Logging_1761/tillsynsmail/A 3573-2026 tillsynsbegäran mail.docx", "A 3573-2026")</f>
        <v/>
      </c>
    </row>
    <row r="6" ht="15" customHeight="1">
      <c r="A6" t="inlineStr">
        <is>
          <t>A 24616-2022</t>
        </is>
      </c>
      <c r="B6" s="1" t="n">
        <v>44727</v>
      </c>
      <c r="C6" s="1" t="n">
        <v>46164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Spillkråka
Tretåig hackspett</t>
        </is>
      </c>
      <c r="S6">
        <f>HYPERLINK("https://klasma.github.io/Logging_1761/artfynd/A 24616-2022 artfynd.xlsx", "A 24616-2022")</f>
        <v/>
      </c>
      <c r="T6">
        <f>HYPERLINK("https://klasma.github.io/Logging_1761/kartor/A 24616-2022 karta.png", "A 24616-2022")</f>
        <v/>
      </c>
      <c r="U6">
        <f>HYPERLINK("https://klasma.github.io/Logging_1761/knärot/A 24616-2022 karta knärot.png", "A 24616-2022")</f>
        <v/>
      </c>
      <c r="V6">
        <f>HYPERLINK("https://klasma.github.io/Logging_1761/klagomål/A 24616-2022 FSC-klagomål.docx", "A 24616-2022")</f>
        <v/>
      </c>
      <c r="W6">
        <f>HYPERLINK("https://klasma.github.io/Logging_1761/klagomålsmail/A 24616-2022 FSC-klagomål mail.docx", "A 24616-2022")</f>
        <v/>
      </c>
      <c r="X6">
        <f>HYPERLINK("https://klasma.github.io/Logging_1761/tillsyn/A 24616-2022 tillsynsbegäran.docx", "A 24616-2022")</f>
        <v/>
      </c>
      <c r="Y6">
        <f>HYPERLINK("https://klasma.github.io/Logging_1761/tillsynsmail/A 24616-2022 tillsynsbegäran mail.docx", "A 24616-2022")</f>
        <v/>
      </c>
      <c r="Z6">
        <f>HYPERLINK("https://klasma.github.io/Logging_1761/fåglar/A 24616-2022 prioriterade fågelarter.docx", "A 24616-2022")</f>
        <v/>
      </c>
    </row>
    <row r="7" ht="15" customHeight="1">
      <c r="A7" t="inlineStr">
        <is>
          <t>A 45407-2025</t>
        </is>
      </c>
      <c r="B7" s="1" t="n">
        <v>45922</v>
      </c>
      <c r="C7" s="1" t="n">
        <v>46164</v>
      </c>
      <c r="D7" t="inlineStr">
        <is>
          <t>VÄRMLANDS LÄN</t>
        </is>
      </c>
      <c r="E7" t="inlineStr">
        <is>
          <t>HAMMARÖ</t>
        </is>
      </c>
      <c r="G7" t="n">
        <v>11.6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Vanlig padda</t>
        </is>
      </c>
      <c r="S7">
        <f>HYPERLINK("https://klasma.github.io/Logging_1761/artfynd/A 45407-2025 artfynd.xlsx", "A 45407-2025")</f>
        <v/>
      </c>
      <c r="T7">
        <f>HYPERLINK("https://klasma.github.io/Logging_1761/kartor/A 45407-2025 karta.png", "A 45407-2025")</f>
        <v/>
      </c>
      <c r="V7">
        <f>HYPERLINK("https://klasma.github.io/Logging_1761/klagomål/A 45407-2025 FSC-klagomål.docx", "A 45407-2025")</f>
        <v/>
      </c>
      <c r="W7">
        <f>HYPERLINK("https://klasma.github.io/Logging_1761/klagomålsmail/A 45407-2025 FSC-klagomål mail.docx", "A 45407-2025")</f>
        <v/>
      </c>
      <c r="X7">
        <f>HYPERLINK("https://klasma.github.io/Logging_1761/tillsyn/A 45407-2025 tillsynsbegäran.docx", "A 45407-2025")</f>
        <v/>
      </c>
      <c r="Y7">
        <f>HYPERLINK("https://klasma.github.io/Logging_1761/tillsynsmail/A 45407-2025 tillsynsbegäran mail.docx", "A 45407-2025")</f>
        <v/>
      </c>
      <c r="Z7">
        <f>HYPERLINK("https://klasma.github.io/Logging_1761/fåglar/A 45407-2025 prioriterade fågelarter.docx", "A 45407-2025")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46164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Mindre flugsnappare
Vanlig groda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46164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46164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46164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56835-2021</t>
        </is>
      </c>
      <c r="B12" s="1" t="n">
        <v>44481</v>
      </c>
      <c r="C12" s="1" t="n">
        <v>46164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18.8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51008-2023</t>
        </is>
      </c>
      <c r="B13" s="1" t="n">
        <v>45218</v>
      </c>
      <c r="C13" s="1" t="n">
        <v>46164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46164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46164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56799-2022</t>
        </is>
      </c>
      <c r="B16" s="1" t="n">
        <v>44894.425625</v>
      </c>
      <c r="C16" s="1" t="n">
        <v>46164</v>
      </c>
      <c r="D16" t="inlineStr">
        <is>
          <t>VÄRMLANDS LÄN</t>
        </is>
      </c>
      <c r="E16" t="inlineStr">
        <is>
          <t>HAMMARÖ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45423-2025</t>
        </is>
      </c>
      <c r="B17" s="1" t="n">
        <v>45922.45137731481</v>
      </c>
      <c r="C17" s="1" t="n">
        <v>46164</v>
      </c>
      <c r="D17" t="inlineStr">
        <is>
          <t>VÄRMLANDS LÄN</t>
        </is>
      </c>
      <c r="E17" t="inlineStr">
        <is>
          <t>HAMMARÖ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41661-2025</t>
        </is>
      </c>
      <c r="B18" s="1" t="n">
        <v>45902</v>
      </c>
      <c r="C18" s="1" t="n">
        <v>46164</v>
      </c>
      <c r="D18" t="inlineStr">
        <is>
          <t>VÄRMLANDS LÄN</t>
        </is>
      </c>
      <c r="E18" t="inlineStr">
        <is>
          <t>HAMMARÖ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41895-2023</t>
        </is>
      </c>
      <c r="B19" s="1" t="n">
        <v>45176</v>
      </c>
      <c r="C19" s="1" t="n">
        <v>46164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41899-2023</t>
        </is>
      </c>
      <c r="B20" s="1" t="n">
        <v>45176</v>
      </c>
      <c r="C20" s="1" t="n">
        <v>46164</v>
      </c>
      <c r="D20" t="inlineStr">
        <is>
          <t>VÄRMLANDS LÄN</t>
        </is>
      </c>
      <c r="E20" t="inlineStr">
        <is>
          <t>HAMMARÖ</t>
        </is>
      </c>
      <c r="F20" t="inlineStr">
        <is>
          <t>Övriga Aktiebolag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46164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58383-2024</t>
        </is>
      </c>
      <c r="B22" s="1" t="n">
        <v>45632</v>
      </c>
      <c r="C22" s="1" t="n">
        <v>46164</v>
      </c>
      <c r="D22" t="inlineStr">
        <is>
          <t>VÄRMLANDS LÄN</t>
        </is>
      </c>
      <c r="E22" t="inlineStr">
        <is>
          <t>HAMMARÖ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46164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13356-2022</t>
        </is>
      </c>
      <c r="B24" s="1" t="n">
        <v>44645</v>
      </c>
      <c r="C24" s="1" t="n">
        <v>46164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42951-2023</t>
        </is>
      </c>
      <c r="B25" s="1" t="n">
        <v>45182</v>
      </c>
      <c r="C25" s="1" t="n">
        <v>46164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46164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46164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13354-2022</t>
        </is>
      </c>
      <c r="B28" s="1" t="n">
        <v>44645</v>
      </c>
      <c r="C28" s="1" t="n">
        <v>46164</v>
      </c>
      <c r="D28" t="inlineStr">
        <is>
          <t>VÄRMLANDS LÄN</t>
        </is>
      </c>
      <c r="E28" t="inlineStr">
        <is>
          <t>HAMMARÖ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55066-2023</t>
        </is>
      </c>
      <c r="B29" s="1" t="n">
        <v>45237</v>
      </c>
      <c r="C29" s="1" t="n">
        <v>46164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2769-2023</t>
        </is>
      </c>
      <c r="B30" s="1" t="n">
        <v>44944</v>
      </c>
      <c r="C30" s="1" t="n">
        <v>46164</v>
      </c>
      <c r="D30" t="inlineStr">
        <is>
          <t>VÄRMLANDS LÄN</t>
        </is>
      </c>
      <c r="E30" t="inlineStr">
        <is>
          <t>HAMMARÖ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42957-2023</t>
        </is>
      </c>
      <c r="B31" s="1" t="n">
        <v>45182</v>
      </c>
      <c r="C31" s="1" t="n">
        <v>46164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2026-05-22T10:43:09Z</dcterms:created>
  <dcterms:modified xmlns:dcterms="http://purl.org/dc/terms/" xmlns:xsi="http://www.w3.org/2001/XMLSchema-instance" xsi:type="dcterms:W3CDTF">2026-05-22T10:43:09Z</dcterms:modified>
</cp:coreProperties>
</file>