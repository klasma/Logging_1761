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46303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46303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46303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46303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47571-2025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45931</v>
      </c>
      <c r="E6" s="1" t="n">
        <v>46303</v>
      </c>
      <c r="F6" t="inlineStr">
        <is>
          <t>VÄRMLANDS LÄN</t>
        </is>
      </c>
      <c r="G6" t="inlineStr">
        <is>
          <t>HAMMARÖ</t>
        </is>
      </c>
      <c r="I6" t="n">
        <v>8.300000000000001</v>
      </c>
      <c r="J6" t="n">
        <v>4</v>
      </c>
      <c r="K6" t="n">
        <v>0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5</v>
      </c>
      <c r="T6" t="n">
        <v>11</v>
      </c>
      <c r="U6" t="n">
        <v>11</v>
      </c>
      <c r="V6" s="2" t="inlineStr">
        <is>
          <t>Långskägg
Knärot
Motaggsvamp
Tjäder
Kungsfågel</t>
        </is>
      </c>
      <c r="W6">
        <f>HYPERLINK("https://klasma.github.io/Logging_1761/artfynd/A 47571-2025 artfynd.xlsx", "A 47571-2025")</f>
        <v/>
      </c>
      <c r="X6">
        <f>HYPERLINK("https://klasma.github.io/Logging_1761/kartor/A 47571-2025 karta.png", "A 47571-2025")</f>
        <v/>
      </c>
      <c r="Y6">
        <f>HYPERLINK("https://klasma.github.io/Logging_1761/kartor_geotiff/A 47571-2025 georefererad karta.tif", "A 47571-2025")</f>
        <v/>
      </c>
      <c r="Z6">
        <f>HYPERLINK("https://klasma.github.io/Logging_1761/knärot/A 47571-2025 karta knärot.png", "A 47571-2025")</f>
        <v/>
      </c>
      <c r="AA6">
        <f>HYPERLINK("https://klasma.github.io/Logging_1761/klagomål/A 47571-2025 FSC-klagomål.docx", "A 47571-2025")</f>
        <v/>
      </c>
      <c r="AB6">
        <f>HYPERLINK("https://klasma.github.io/Logging_1761/klagomålsmail/A 47571-2025 FSC-klagomål mail.docx", "A 47571-2025")</f>
        <v/>
      </c>
      <c r="AC6">
        <f>HYPERLINK("https://klasma.github.io/Logging_1761/tillsyn/A 47571-2025 tillsynsbegäran.docx", "A 47571-2025")</f>
        <v/>
      </c>
      <c r="AD6">
        <f>HYPERLINK("https://klasma.github.io/Logging_1761/tillsynsmail/A 47571-2025 tillsynsbegäran mail.docx", "A 47571-2025")</f>
        <v/>
      </c>
      <c r="AE6">
        <f>HYPERLINK("https://klasma.github.io/Logging_1761/fåglar/A 47571-2025 prioriterade fågelarter.docx", "A 47571-2025")</f>
        <v/>
      </c>
    </row>
    <row r="7" ht="15" customHeight="1">
      <c r="A7" t="inlineStr">
        <is>
          <t>A 61380-2023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45264</v>
      </c>
      <c r="E7" s="1" t="n">
        <v>46303</v>
      </c>
      <c r="F7" t="inlineStr">
        <is>
          <t>VÄRMLANDS LÄN</t>
        </is>
      </c>
      <c r="G7" t="inlineStr">
        <is>
          <t>HAMMARÖ</t>
        </is>
      </c>
      <c r="I7" t="n">
        <v>3.3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8</v>
      </c>
      <c r="U7" t="n">
        <v>4</v>
      </c>
      <c r="V7" s="2" t="inlineStr">
        <is>
          <t>Knärot
Blå taggsvamp
Gropticka
Motaggsvamp
Gullgröppa</t>
        </is>
      </c>
      <c r="W7">
        <f>HYPERLINK("https://klasma.github.io/Logging_1761/artfynd/A 61380-2023 artfynd.xlsx", "A 61380-2023")</f>
        <v/>
      </c>
      <c r="X7">
        <f>HYPERLINK("https://klasma.github.io/Logging_1761/kartor/A 61380-2023 karta.png", "A 61380-2023")</f>
        <v/>
      </c>
      <c r="Y7">
        <f>HYPERLINK("https://klasma.github.io/Logging_1761/kartor_geotiff/A 61380-2023 georefererad karta.tif", "A 61380-2023")</f>
        <v/>
      </c>
      <c r="Z7">
        <f>HYPERLINK("https://klasma.github.io/Logging_1761/knärot/A 61380-2023 karta knärot.png", "A 61380-2023")</f>
        <v/>
      </c>
      <c r="AA7">
        <f>HYPERLINK("https://klasma.github.io/Logging_1761/klagomål/A 61380-2023 FSC-klagomål.docx", "A 61380-2023")</f>
        <v/>
      </c>
      <c r="AB7">
        <f>HYPERLINK("https://klasma.github.io/Logging_1761/klagomålsmail/A 61380-2023 FSC-klagomål mail.docx", "A 61380-2023")</f>
        <v/>
      </c>
      <c r="AC7">
        <f>HYPERLINK("https://klasma.github.io/Logging_1761/tillsyn/A 61380-2023 tillsynsbegäran.docx", "A 61380-2023")</f>
        <v/>
      </c>
      <c r="AD7">
        <f>HYPERLINK("https://klasma.github.io/Logging_1761/tillsynsmail/A 61380-2023 tillsynsbegäran mail.docx", "A 61380-2023")</f>
        <v/>
      </c>
    </row>
    <row r="8" ht="15" customHeight="1">
      <c r="A8" t="inlineStr">
        <is>
          <t>A 3573-2026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46042</v>
      </c>
      <c r="E8" s="1" t="n">
        <v>46303</v>
      </c>
      <c r="F8" t="inlineStr">
        <is>
          <t>VÄRMLANDS LÄN</t>
        </is>
      </c>
      <c r="G8" t="inlineStr">
        <is>
          <t>HAMMARÖ</t>
        </is>
      </c>
      <c r="I8" t="n">
        <v>4.3</v>
      </c>
      <c r="J8" t="n">
        <v>4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16</v>
      </c>
      <c r="U8" t="n">
        <v>0</v>
      </c>
      <c r="V8" s="2" t="inlineStr">
        <is>
          <t>Knärot
Jättesvampmal
Åkergroda
Vanlig groda
Vanlig padda</t>
        </is>
      </c>
      <c r="W8">
        <f>HYPERLINK("https://klasma.github.io/Logging_1761/artfynd/A 3573-2026 artfynd.xlsx", "A 3573-2026")</f>
        <v/>
      </c>
      <c r="X8">
        <f>HYPERLINK("https://klasma.github.io/Logging_1761/kartor/A 3573-2026 karta.png", "A 3573-2026")</f>
        <v/>
      </c>
      <c r="Y8">
        <f>HYPERLINK("https://klasma.github.io/Logging_1761/kartor_geotiff/A 3573-2026 georefererad karta.tif", "A 3573-2026")</f>
        <v/>
      </c>
      <c r="Z8">
        <f>HYPERLINK("https://klasma.github.io/Logging_1761/knärot/A 3573-2026 karta knärot.png", "A 3573-2026")</f>
        <v/>
      </c>
      <c r="AA8">
        <f>HYPERLINK("https://klasma.github.io/Logging_1761/klagomål/A 3573-2026 FSC-klagomål.docx", "A 3573-2026")</f>
        <v/>
      </c>
      <c r="AB8">
        <f>HYPERLINK("https://klasma.github.io/Logging_1761/klagomålsmail/A 3573-2026 FSC-klagomål mail.docx", "A 3573-2026")</f>
        <v/>
      </c>
      <c r="AC8">
        <f>HYPERLINK("https://klasma.github.io/Logging_1761/tillsyn/A 3573-2026 tillsynsbegäran.docx", "A 3573-2026")</f>
        <v/>
      </c>
      <c r="AD8">
        <f>HYPERLINK("https://klasma.github.io/Logging_1761/tillsynsmail/A 3573-2026 tillsynsbegäran mail.docx", "A 3573-2026")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46303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46303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46303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41899-2023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45176</v>
      </c>
      <c r="E12" s="1" t="n">
        <v>46303</v>
      </c>
      <c r="F12" t="inlineStr">
        <is>
          <t>VÄRMLANDS LÄN</t>
        </is>
      </c>
      <c r="G12" t="inlineStr">
        <is>
          <t>HAMMARÖ</t>
        </is>
      </c>
      <c r="H12" t="inlineStr">
        <is>
          <t>Övriga Aktiebolag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Grönsiska</t>
        </is>
      </c>
      <c r="W12">
        <f>HYPERLINK("https://klasma.github.io/Logging_1761/artfynd/A 41899-2023 artfynd.xlsx", "A 41899-2023")</f>
        <v/>
      </c>
      <c r="X12">
        <f>HYPERLINK("https://klasma.github.io/Logging_1761/kartor/A 41899-2023 karta.png", "A 41899-2023")</f>
        <v/>
      </c>
      <c r="Y12">
        <f>HYPERLINK("https://klasma.github.io/Logging_1761/kartor_geotiff/A 41899-2023 georefererad karta.tif", "A 41899-2023")</f>
        <v/>
      </c>
      <c r="AA12">
        <f>HYPERLINK("https://klasma.github.io/Logging_1761/klagomål/A 41899-2023 FSC-klagomål.docx", "A 41899-2023")</f>
        <v/>
      </c>
      <c r="AB12">
        <f>HYPERLINK("https://klasma.github.io/Logging_1761/klagomålsmail/A 41899-2023 FSC-klagomål mail.docx", "A 41899-2023")</f>
        <v/>
      </c>
      <c r="AC12">
        <f>HYPERLINK("https://klasma.github.io/Logging_1761/tillsyn/A 41899-2023 tillsynsbegäran.docx", "A 41899-2023")</f>
        <v/>
      </c>
      <c r="AD12">
        <f>HYPERLINK("https://klasma.github.io/Logging_1761/tillsynsmail/A 41899-2023 tillsynsbegäran mail.docx", "A 41899-2023")</f>
        <v/>
      </c>
    </row>
    <row r="13" ht="15" customHeight="1">
      <c r="A13" t="inlineStr">
        <is>
          <t>A 55068-2023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45237</v>
      </c>
      <c r="E13" s="1" t="n">
        <v>46303</v>
      </c>
      <c r="F13" t="inlineStr">
        <is>
          <t>VÄRMLANDS LÄN</t>
        </is>
      </c>
      <c r="G13" t="inlineStr">
        <is>
          <t>HAMMARÖ</t>
        </is>
      </c>
      <c r="H13" t="inlineStr">
        <is>
          <t>Kommuner</t>
        </is>
      </c>
      <c r="I13" t="n">
        <v>2.4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Motaggsvamp</t>
        </is>
      </c>
      <c r="W13">
        <f>HYPERLINK("https://klasma.github.io/Logging_1761/artfynd/A 55068-2023 artfynd.xlsx", "A 55068-2023")</f>
        <v/>
      </c>
      <c r="X13">
        <f>HYPERLINK("https://klasma.github.io/Logging_1761/kartor/A 55068-2023 karta.png", "A 55068-2023")</f>
        <v/>
      </c>
      <c r="Y13">
        <f>HYPERLINK("https://klasma.github.io/Logging_1761/kartor_geotiff/A 55068-2023 georefererad karta.tif", "A 55068-2023")</f>
        <v/>
      </c>
      <c r="AA13">
        <f>HYPERLINK("https://klasma.github.io/Logging_1761/klagomål/A 55068-2023 FSC-klagomål.docx", "A 55068-2023")</f>
        <v/>
      </c>
      <c r="AB13">
        <f>HYPERLINK("https://klasma.github.io/Logging_1761/klagomålsmail/A 55068-2023 FSC-klagomål mail.docx", "A 55068-2023")</f>
        <v/>
      </c>
      <c r="AC13">
        <f>HYPERLINK("https://klasma.github.io/Logging_1761/tillsyn/A 55068-2023 tillsynsbegäran.docx", "A 55068-2023")</f>
        <v/>
      </c>
      <c r="AD13">
        <f>HYPERLINK("https://klasma.github.io/Logging_1761/tillsynsmail/A 55068-2023 tillsynsbegäran mail.docx", "A 55068-2023")</f>
        <v/>
      </c>
    </row>
    <row r="14" ht="15" customHeight="1">
      <c r="A14" t="inlineStr">
        <is>
          <t>A 58382-2024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45632</v>
      </c>
      <c r="E14" s="1" t="n">
        <v>46303</v>
      </c>
      <c r="F14" t="inlineStr">
        <is>
          <t>VÄRMLANDS LÄN</t>
        </is>
      </c>
      <c r="G14" t="inlineStr">
        <is>
          <t>HAMMARÖ</t>
        </is>
      </c>
      <c r="I14" t="n">
        <v>1.6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6</v>
      </c>
      <c r="U14" t="n">
        <v>6</v>
      </c>
      <c r="V14" s="2" t="inlineStr">
        <is>
          <t>Knärot</t>
        </is>
      </c>
      <c r="W14">
        <f>HYPERLINK("https://klasma.github.io/Logging_1761/artfynd/A 58382-2024 artfynd.xlsx", "A 58382-2024")</f>
        <v/>
      </c>
      <c r="X14">
        <f>HYPERLINK("https://klasma.github.io/Logging_1761/kartor/A 58382-2024 karta.png", "A 58382-2024")</f>
        <v/>
      </c>
      <c r="Y14">
        <f>HYPERLINK("https://klasma.github.io/Logging_1761/kartor_geotiff/A 58382-2024 georefererad karta.tif", "A 58382-2024")</f>
        <v/>
      </c>
      <c r="Z14">
        <f>HYPERLINK("https://klasma.github.io/Logging_1761/knärot/A 58382-2024 karta knärot.png", "A 58382-2024")</f>
        <v/>
      </c>
      <c r="AA14">
        <f>HYPERLINK("https://klasma.github.io/Logging_1761/klagomål/A 58382-2024 FSC-klagomål.docx", "A 58382-2024")</f>
        <v/>
      </c>
      <c r="AB14">
        <f>HYPERLINK("https://klasma.github.io/Logging_1761/klagomålsmail/A 58382-2024 FSC-klagomål mail.docx", "A 58382-2024")</f>
        <v/>
      </c>
      <c r="AC14">
        <f>HYPERLINK("https://klasma.github.io/Logging_1761/tillsyn/A 58382-2024 tillsynsbegäran.docx", "A 58382-2024")</f>
        <v/>
      </c>
      <c r="AD14">
        <f>HYPERLINK("https://klasma.github.io/Logging_1761/tillsynsmail/A 58382-2024 tillsynsbegäran mail.docx", "A 58382-2024")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46303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53276-2023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45229</v>
      </c>
      <c r="E16" s="1" t="n">
        <v>46303</v>
      </c>
      <c r="F16" t="inlineStr">
        <is>
          <t>VÄRMLANDS LÄN</t>
        </is>
      </c>
      <c r="G16" t="inlineStr">
        <is>
          <t>HAMMARÖ</t>
        </is>
      </c>
      <c r="H16" t="inlineStr">
        <is>
          <t>Övriga Aktiebolag</t>
        </is>
      </c>
      <c r="I16" t="n">
        <v>0.3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Vanlig groda</t>
        </is>
      </c>
      <c r="W16">
        <f>HYPERLINK("https://klasma.github.io/Logging_1761/artfynd/A 53276-2023 artfynd.xlsx", "A 53276-2023")</f>
        <v/>
      </c>
      <c r="X16">
        <f>HYPERLINK("https://klasma.github.io/Logging_1761/kartor/A 53276-2023 karta.png", "A 53276-2023")</f>
        <v/>
      </c>
      <c r="Y16">
        <f>HYPERLINK("https://klasma.github.io/Logging_1761/kartor_geotiff/A 53276-2023 georefererad karta.tif", "A 53276-2023")</f>
        <v/>
      </c>
      <c r="AA16">
        <f>HYPERLINK("https://klasma.github.io/Logging_1761/klagomål/A 53276-2023 FSC-klagomål.docx", "A 53276-2023")</f>
        <v/>
      </c>
      <c r="AB16">
        <f>HYPERLINK("https://klasma.github.io/Logging_1761/klagomålsmail/A 53276-2023 FSC-klagomål mail.docx", "A 53276-2023")</f>
        <v/>
      </c>
      <c r="AC16">
        <f>HYPERLINK("https://klasma.github.io/Logging_1761/tillsyn/A 53276-2023 tillsynsbegäran.docx", "A 53276-2023")</f>
        <v/>
      </c>
      <c r="AD16">
        <f>HYPERLINK("https://klasma.github.io/Logging_1761/tillsynsmail/A 53276-2023 tillsynsbegäran mail.docx", "A 53276-2023")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46303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41895-2023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45176</v>
      </c>
      <c r="E18" s="1" t="n">
        <v>46303</v>
      </c>
      <c r="F18" t="inlineStr">
        <is>
          <t>VÄRMLANDS LÄN</t>
        </is>
      </c>
      <c r="G18" t="inlineStr">
        <is>
          <t>HAMMARÖ</t>
        </is>
      </c>
      <c r="H18" t="inlineStr">
        <is>
          <t>Övriga Aktiebolag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55069-2023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45237</v>
      </c>
      <c r="E19" s="1" t="n">
        <v>46303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3.2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51008-2023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45218</v>
      </c>
      <c r="E20" s="1" t="n">
        <v>46303</v>
      </c>
      <c r="F20" t="inlineStr">
        <is>
          <t>VÄRMLANDS LÄN</t>
        </is>
      </c>
      <c r="G20" t="inlineStr">
        <is>
          <t>HAMMARÖ</t>
        </is>
      </c>
      <c r="H20" t="inlineStr">
        <is>
          <t>Kommuner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58383-2024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45632</v>
      </c>
      <c r="E21" s="1" t="n">
        <v>46303</v>
      </c>
      <c r="F21" t="inlineStr">
        <is>
          <t>VÄRMLANDS LÄN</t>
        </is>
      </c>
      <c r="G21" t="inlineStr">
        <is>
          <t>HAMMARÖ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53369-2024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45614</v>
      </c>
      <c r="E22" s="1" t="n">
        <v>46303</v>
      </c>
      <c r="F22" t="inlineStr">
        <is>
          <t>VÄRMLANDS LÄN</t>
        </is>
      </c>
      <c r="G22" t="inlineStr">
        <is>
          <t>HAMMARÖ</t>
        </is>
      </c>
      <c r="I22" t="n">
        <v>3.4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57893-2023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45247</v>
      </c>
      <c r="E23" s="1" t="n">
        <v>46303</v>
      </c>
      <c r="F23" t="inlineStr">
        <is>
          <t>VÄRMLANDS LÄN</t>
        </is>
      </c>
      <c r="G23" t="inlineStr">
        <is>
          <t>HAMMARÖ</t>
        </is>
      </c>
      <c r="H23" t="inlineStr">
        <is>
          <t>Kommuner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37934-2024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45544</v>
      </c>
      <c r="E24" s="1" t="n">
        <v>46303</v>
      </c>
      <c r="F24" t="inlineStr">
        <is>
          <t>VÄRMLANDS LÄN</t>
        </is>
      </c>
      <c r="G24" t="inlineStr">
        <is>
          <t>HAMMARÖ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13356-2022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44645</v>
      </c>
      <c r="E25" s="1" t="n">
        <v>46303</v>
      </c>
      <c r="F25" t="inlineStr">
        <is>
          <t>VÄRMLANDS LÄN</t>
        </is>
      </c>
      <c r="G25" t="inlineStr">
        <is>
          <t>HAMMARÖ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42951-2023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45182</v>
      </c>
      <c r="E26" s="1" t="n">
        <v>46303</v>
      </c>
      <c r="F26" t="inlineStr">
        <is>
          <t>VÄRMLANDS LÄN</t>
        </is>
      </c>
      <c r="G26" t="inlineStr">
        <is>
          <t>HAMMARÖ</t>
        </is>
      </c>
      <c r="H26" t="inlineStr">
        <is>
          <t>Övriga Aktiebolag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42955-2023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45182</v>
      </c>
      <c r="E27" s="1" t="n">
        <v>46303</v>
      </c>
      <c r="F27" t="inlineStr">
        <is>
          <t>VÄRMLANDS LÄN</t>
        </is>
      </c>
      <c r="G27" t="inlineStr">
        <is>
          <t>HAMMARÖ</t>
        </is>
      </c>
      <c r="H27" t="inlineStr">
        <is>
          <t>Övriga Aktiebolag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42960-2023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45182</v>
      </c>
      <c r="E28" s="1" t="n">
        <v>46303</v>
      </c>
      <c r="F28" t="inlineStr">
        <is>
          <t>VÄRMLANDS LÄN</t>
        </is>
      </c>
      <c r="G28" t="inlineStr">
        <is>
          <t>HAMMARÖ</t>
        </is>
      </c>
      <c r="H28" t="inlineStr">
        <is>
          <t>Övriga Aktiebolag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56799-2022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44894</v>
      </c>
      <c r="E29" s="1" t="n">
        <v>46303</v>
      </c>
      <c r="F29" t="inlineStr">
        <is>
          <t>VÄRMLANDS LÄN</t>
        </is>
      </c>
      <c r="G29" t="inlineStr">
        <is>
          <t>HAMMARÖ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46303</v>
      </c>
      <c r="F30" t="inlineStr">
        <is>
          <t>VÄRMLANDS LÄN</t>
        </is>
      </c>
      <c r="G30" t="inlineStr">
        <is>
          <t>HAMMARÖ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55066-2023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45237</v>
      </c>
      <c r="E31" s="1" t="n">
        <v>46303</v>
      </c>
      <c r="F31" t="inlineStr">
        <is>
          <t>VÄRMLANDS LÄN</t>
        </is>
      </c>
      <c r="G31" t="inlineStr">
        <is>
          <t>HAMMARÖ</t>
        </is>
      </c>
      <c r="H31" t="inlineStr">
        <is>
          <t>Kommuner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42957-2023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45182</v>
      </c>
      <c r="E32" s="1" t="n">
        <v>46303</v>
      </c>
      <c r="F32" t="inlineStr">
        <is>
          <t>VÄRMLANDS LÄN</t>
        </is>
      </c>
      <c r="G32" t="inlineStr">
        <is>
          <t>HAMMARÖ</t>
        </is>
      </c>
      <c r="H32" t="inlineStr">
        <is>
          <t>Övriga Aktiebolag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46303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2026-10-08T02:02:59Z</dcterms:created>
  <dcterms:modified xmlns:dcterms="http://purl.org/dc/terms/" xmlns:xsi="http://www.w3.org/2001/XMLSchema-instance" xsi:type="dcterms:W3CDTF">2026-10-08T02:02:59Z</dcterms:modified>
</cp:coreProperties>
</file>