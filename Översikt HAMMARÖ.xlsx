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46075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46075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46075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46075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46075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46075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46075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20755-2021</t>
        </is>
      </c>
      <c r="B9" s="1" t="n">
        <v>44316</v>
      </c>
      <c r="C9" s="1" t="n">
        <v>46075</v>
      </c>
      <c r="D9" t="inlineStr">
        <is>
          <t>VÄRMLANDS LÄN</t>
        </is>
      </c>
      <c r="E9" t="inlineStr">
        <is>
          <t>HAMMARÖ</t>
        </is>
      </c>
      <c r="G9" t="n">
        <v>16.8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HYPERLINK("https://klasma.github.io/Logging_1761/artfynd/A 20755-2021 artfynd.xlsx", "A 20755-2021")</f>
        <v/>
      </c>
      <c r="T9">
        <f>HYPERLINK("https://klasma.github.io/Logging_1761/kartor/A 20755-2021 karta.png", "A 20755-2021")</f>
        <v/>
      </c>
      <c r="V9">
        <f>HYPERLINK("https://klasma.github.io/Logging_1761/klagomål/A 20755-2021 FSC-klagomål.docx", "A 20755-2021")</f>
        <v/>
      </c>
      <c r="W9">
        <f>HYPERLINK("https://klasma.github.io/Logging_1761/klagomålsmail/A 20755-2021 FSC-klagomål mail.docx", "A 20755-2021")</f>
        <v/>
      </c>
      <c r="X9">
        <f>HYPERLINK("https://klasma.github.io/Logging_1761/tillsyn/A 20755-2021 tillsynsbegäran.docx", "A 20755-2021")</f>
        <v/>
      </c>
      <c r="Y9">
        <f>HYPERLINK("https://klasma.github.io/Logging_1761/tillsynsmail/A 20755-2021 tillsynsbegäran mail.docx", "A 20755-2021")</f>
        <v/>
      </c>
      <c r="Z9">
        <f>HYPERLINK("https://klasma.github.io/Logging_1761/fåglar/A 20755-2021 prioriterade fågelarter.docx", "A 20755-2021")</f>
        <v/>
      </c>
    </row>
    <row r="10" ht="15" customHeight="1">
      <c r="A10" t="inlineStr">
        <is>
          <t>A 58382-2024</t>
        </is>
      </c>
      <c r="B10" s="1" t="n">
        <v>45632</v>
      </c>
      <c r="C10" s="1" t="n">
        <v>46075</v>
      </c>
      <c r="D10" t="inlineStr">
        <is>
          <t>VÄRMLANDS LÄN</t>
        </is>
      </c>
      <c r="E10" t="inlineStr">
        <is>
          <t>HAMMARÖ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58382-2024 artfynd.xlsx", "A 58382-2024")</f>
        <v/>
      </c>
      <c r="T10">
        <f>HYPERLINK("https://klasma.github.io/Logging_1761/kartor/A 58382-2024 karta.png", "A 58382-2024")</f>
        <v/>
      </c>
      <c r="U10">
        <f>HYPERLINK("https://klasma.github.io/Logging_1761/knärot/A 58382-2024 karta knärot.png", "A 58382-2024")</f>
        <v/>
      </c>
      <c r="V10">
        <f>HYPERLINK("https://klasma.github.io/Logging_1761/klagomål/A 58382-2024 FSC-klagomål.docx", "A 58382-2024")</f>
        <v/>
      </c>
      <c r="W10">
        <f>HYPERLINK("https://klasma.github.io/Logging_1761/klagomålsmail/A 58382-2024 FSC-klagomål mail.docx", "A 58382-2024")</f>
        <v/>
      </c>
      <c r="X10">
        <f>HYPERLINK("https://klasma.github.io/Logging_1761/tillsyn/A 58382-2024 tillsynsbegäran.docx", "A 58382-2024")</f>
        <v/>
      </c>
      <c r="Y10">
        <f>HYPERLINK("https://klasma.github.io/Logging_1761/tillsynsmail/A 58382-2024 tillsynsbegäran mail.docx", "A 58382-2024")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46075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46075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16890-2021</t>
        </is>
      </c>
      <c r="B13" s="1" t="n">
        <v>44295</v>
      </c>
      <c r="C13" s="1" t="n">
        <v>46075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46075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42957-2023</t>
        </is>
      </c>
      <c r="B15" s="1" t="n">
        <v>45182</v>
      </c>
      <c r="C15" s="1" t="n">
        <v>46075</v>
      </c>
      <c r="D15" t="inlineStr">
        <is>
          <t>VÄRMLANDS LÄN</t>
        </is>
      </c>
      <c r="E15" t="inlineStr">
        <is>
          <t>HAMMARÖ</t>
        </is>
      </c>
      <c r="F15" t="inlineStr">
        <is>
          <t>Övriga Aktiebolag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41899-2023</t>
        </is>
      </c>
      <c r="B16" s="1" t="n">
        <v>45176</v>
      </c>
      <c r="C16" s="1" t="n">
        <v>46075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45423-2025</t>
        </is>
      </c>
      <c r="B17" s="1" t="n">
        <v>45922.45137731481</v>
      </c>
      <c r="C17" s="1" t="n">
        <v>46075</v>
      </c>
      <c r="D17" t="inlineStr">
        <is>
          <t>VÄRMLANDS LÄN</t>
        </is>
      </c>
      <c r="E17" t="inlineStr">
        <is>
          <t>HAMMARÖ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41661-2025</t>
        </is>
      </c>
      <c r="B18" s="1" t="n">
        <v>45902</v>
      </c>
      <c r="C18" s="1" t="n">
        <v>46075</v>
      </c>
      <c r="D18" t="inlineStr">
        <is>
          <t>VÄRMLANDS LÄN</t>
        </is>
      </c>
      <c r="E18" t="inlineStr">
        <is>
          <t>HAMMARÖ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55066-2023</t>
        </is>
      </c>
      <c r="B19" s="1" t="n">
        <v>45237</v>
      </c>
      <c r="C19" s="1" t="n">
        <v>46075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53369-2024</t>
        </is>
      </c>
      <c r="B20" s="1" t="n">
        <v>45614</v>
      </c>
      <c r="C20" s="1" t="n">
        <v>46075</v>
      </c>
      <c r="D20" t="inlineStr">
        <is>
          <t>VÄRMLANDS LÄN</t>
        </is>
      </c>
      <c r="E20" t="inlineStr">
        <is>
          <t>HAMMARÖ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58383-2024</t>
        </is>
      </c>
      <c r="B21" s="1" t="n">
        <v>45632</v>
      </c>
      <c r="C21" s="1" t="n">
        <v>46075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2769-2023</t>
        </is>
      </c>
      <c r="B22" s="1" t="n">
        <v>44944</v>
      </c>
      <c r="C22" s="1" t="n">
        <v>46075</v>
      </c>
      <c r="D22" t="inlineStr">
        <is>
          <t>VÄRMLANDS LÄN</t>
        </is>
      </c>
      <c r="E22" t="inlineStr">
        <is>
          <t>HAMMARÖ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42955-2023</t>
        </is>
      </c>
      <c r="B23" s="1" t="n">
        <v>45182</v>
      </c>
      <c r="C23" s="1" t="n">
        <v>46075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42960-2023</t>
        </is>
      </c>
      <c r="B24" s="1" t="n">
        <v>45182</v>
      </c>
      <c r="C24" s="1" t="n">
        <v>46075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55069-2023</t>
        </is>
      </c>
      <c r="B25" s="1" t="n">
        <v>45237</v>
      </c>
      <c r="C25" s="1" t="n">
        <v>46075</v>
      </c>
      <c r="D25" t="inlineStr">
        <is>
          <t>VÄRMLANDS LÄN</t>
        </is>
      </c>
      <c r="E25" t="inlineStr">
        <is>
          <t>HAMMARÖ</t>
        </is>
      </c>
      <c r="F25" t="inlineStr">
        <is>
          <t>Kommuner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51008-2023</t>
        </is>
      </c>
      <c r="B26" s="1" t="n">
        <v>45218</v>
      </c>
      <c r="C26" s="1" t="n">
        <v>46075</v>
      </c>
      <c r="D26" t="inlineStr">
        <is>
          <t>VÄRMLANDS LÄN</t>
        </is>
      </c>
      <c r="E26" t="inlineStr">
        <is>
          <t>HAMMARÖ</t>
        </is>
      </c>
      <c r="F26" t="inlineStr">
        <is>
          <t>Kommuner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46075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13354-2022</t>
        </is>
      </c>
      <c r="B28" s="1" t="n">
        <v>44645</v>
      </c>
      <c r="C28" s="1" t="n">
        <v>46075</v>
      </c>
      <c r="D28" t="inlineStr">
        <is>
          <t>VÄRMLANDS LÄN</t>
        </is>
      </c>
      <c r="E28" t="inlineStr">
        <is>
          <t>HAMMARÖ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37934-2024</t>
        </is>
      </c>
      <c r="B29" s="1" t="n">
        <v>45544</v>
      </c>
      <c r="C29" s="1" t="n">
        <v>46075</v>
      </c>
      <c r="D29" t="inlineStr">
        <is>
          <t>VÄRMLANDS LÄN</t>
        </is>
      </c>
      <c r="E29" t="inlineStr">
        <is>
          <t>HAMMARÖ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56799-2022</t>
        </is>
      </c>
      <c r="B30" s="1" t="n">
        <v>44894.425625</v>
      </c>
      <c r="C30" s="1" t="n">
        <v>46075</v>
      </c>
      <c r="D30" t="inlineStr">
        <is>
          <t>VÄRMLANDS LÄN</t>
        </is>
      </c>
      <c r="E30" t="inlineStr">
        <is>
          <t>HAMMARÖ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13356-2022</t>
        </is>
      </c>
      <c r="B31" s="1" t="n">
        <v>44645</v>
      </c>
      <c r="C31" s="1" t="n">
        <v>46075</v>
      </c>
      <c r="D31" t="inlineStr">
        <is>
          <t>VÄRMLANDS LÄN</t>
        </is>
      </c>
      <c r="E31" t="inlineStr">
        <is>
          <t>HAMMARÖ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46075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57893-2023</t>
        </is>
      </c>
      <c r="B33" s="1" t="n">
        <v>45247</v>
      </c>
      <c r="C33" s="1" t="n">
        <v>46075</v>
      </c>
      <c r="D33" t="inlineStr">
        <is>
          <t>VÄRMLANDS LÄN</t>
        </is>
      </c>
      <c r="E33" t="inlineStr">
        <is>
          <t>HAMMARÖ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2026-02-22T11:02:31Z</dcterms:created>
  <dcterms:modified xmlns:dcterms="http://purl.org/dc/terms/" xmlns:xsi="http://www.w3.org/2001/XMLSchema-instance" xsi:type="dcterms:W3CDTF">2026-02-22T11:02:31Z</dcterms:modified>
</cp:coreProperties>
</file>