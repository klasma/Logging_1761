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Y44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outlineLevel="1" width="13" customWidth="1" min="22" max="25"/>
  </cols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</row>
    <row r="2" ht="15" customHeight="1">
      <c r="A2" t="inlineStr">
        <is>
          <t>A 24616-2022</t>
        </is>
      </c>
      <c r="B2" s="1" t="n">
        <v>44727</v>
      </c>
      <c r="C2" s="1" t="n">
        <v>45275</v>
      </c>
      <c r="D2" t="inlineStr">
        <is>
          <t>VÄRMLANDS LÄN</t>
        </is>
      </c>
      <c r="E2" t="inlineStr">
        <is>
          <t>HAMMARÖ</t>
        </is>
      </c>
      <c r="F2" t="inlineStr">
        <is>
          <t>Kommuner</t>
        </is>
      </c>
      <c r="G2" t="n">
        <v>4</v>
      </c>
      <c r="H2" t="n">
        <v>2</v>
      </c>
      <c r="I2" t="n">
        <v>0</v>
      </c>
      <c r="J2" t="n">
        <v>1</v>
      </c>
      <c r="K2" t="n">
        <v>1</v>
      </c>
      <c r="L2" t="n">
        <v>0</v>
      </c>
      <c r="M2" t="n">
        <v>0</v>
      </c>
      <c r="N2" t="n">
        <v>0</v>
      </c>
      <c r="O2" t="n">
        <v>2</v>
      </c>
      <c r="P2" t="n">
        <v>1</v>
      </c>
      <c r="Q2" t="n">
        <v>2</v>
      </c>
      <c r="R2" s="2" t="inlineStr">
        <is>
          <t>Knärot
Spillkråka</t>
        </is>
      </c>
      <c r="S2">
        <f>HYPERLINK("https://klasma.github.io/Logging_1761/artfynd/A 24616-2022 artfynd.xlsx", "A 24616-2022")</f>
        <v/>
      </c>
      <c r="T2">
        <f>HYPERLINK("https://klasma.github.io/Logging_1761/kartor/A 24616-2022 karta.png", "A 24616-2022")</f>
        <v/>
      </c>
      <c r="U2">
        <f>HYPERLINK("https://klasma.github.io/Logging_1761/knärot/A 24616-2022 karta knärot.png", "A 24616-2022")</f>
        <v/>
      </c>
      <c r="V2">
        <f>HYPERLINK("https://klasma.github.io/Logging_1761/klagomål/A 24616-2022 FSC-klagomål.docx", "A 24616-2022")</f>
        <v/>
      </c>
      <c r="W2">
        <f>HYPERLINK("https://klasma.github.io/Logging_1761/klagomålsmail/A 24616-2022 FSC-klagomål mail.docx", "A 24616-2022")</f>
        <v/>
      </c>
      <c r="X2">
        <f>HYPERLINK("https://klasma.github.io/Logging_1761/tillsyn/A 24616-2022 tillsynsbegäran.docx", "A 24616-2022")</f>
        <v/>
      </c>
      <c r="Y2">
        <f>HYPERLINK("https://klasma.github.io/Logging_1761/tillsynsmail/A 24616-2022 tillsynsbegäran mail.docx", "A 24616-2022")</f>
        <v/>
      </c>
    </row>
    <row r="3" ht="15" customHeight="1">
      <c r="A3" t="inlineStr">
        <is>
          <t>A 61380-2023</t>
        </is>
      </c>
      <c r="B3" s="1" t="n">
        <v>45264</v>
      </c>
      <c r="C3" s="1" t="n">
        <v>45275</v>
      </c>
      <c r="D3" t="inlineStr">
        <is>
          <t>VÄRMLANDS LÄN</t>
        </is>
      </c>
      <c r="E3" t="inlineStr">
        <is>
          <t>HAMMARÖ</t>
        </is>
      </c>
      <c r="G3" t="n">
        <v>3.3</v>
      </c>
      <c r="H3" t="n">
        <v>0</v>
      </c>
      <c r="I3" t="n">
        <v>1</v>
      </c>
      <c r="J3" t="n">
        <v>1</v>
      </c>
      <c r="K3" t="n">
        <v>0</v>
      </c>
      <c r="L3" t="n">
        <v>0</v>
      </c>
      <c r="M3" t="n">
        <v>0</v>
      </c>
      <c r="N3" t="n">
        <v>0</v>
      </c>
      <c r="O3" t="n">
        <v>1</v>
      </c>
      <c r="P3" t="n">
        <v>0</v>
      </c>
      <c r="Q3" t="n">
        <v>2</v>
      </c>
      <c r="R3" s="2" t="inlineStr">
        <is>
          <t>Gropticka
Gullgröppa</t>
        </is>
      </c>
      <c r="S3">
        <f>HYPERLINK("https://klasma.github.io/Logging_1761/artfynd/A 61380-2023 artfynd.xlsx", "A 61380-2023")</f>
        <v/>
      </c>
      <c r="T3">
        <f>HYPERLINK("https://klasma.github.io/Logging_1761/kartor/A 61380-2023 karta.png", "A 61380-2023")</f>
        <v/>
      </c>
      <c r="U3">
        <f>HYPERLINK("https://klasma.github.io/Logging_1761/knärot/A 61380-2023 karta knärot.png", "A 61380-2023")</f>
        <v/>
      </c>
      <c r="V3">
        <f>HYPERLINK("https://klasma.github.io/Logging_1761/klagomål/A 61380-2023 FSC-klagomål.docx", "A 61380-2023")</f>
        <v/>
      </c>
      <c r="W3">
        <f>HYPERLINK("https://klasma.github.io/Logging_1761/klagomålsmail/A 61380-2023 FSC-klagomål mail.docx", "A 61380-2023")</f>
        <v/>
      </c>
      <c r="X3">
        <f>HYPERLINK("https://klasma.github.io/Logging_1761/tillsyn/A 61380-2023 tillsynsbegäran.docx", "A 61380-2023")</f>
        <v/>
      </c>
      <c r="Y3">
        <f>HYPERLINK("https://klasma.github.io/Logging_1761/tillsynsmail/A 61380-2023 tillsynsbegäran mail.docx", "A 61380-2023")</f>
        <v/>
      </c>
    </row>
    <row r="4" ht="15" customHeight="1">
      <c r="A4" t="inlineStr">
        <is>
          <t>A 24618-2022</t>
        </is>
      </c>
      <c r="B4" s="1" t="n">
        <v>44727</v>
      </c>
      <c r="C4" s="1" t="n">
        <v>45275</v>
      </c>
      <c r="D4" t="inlineStr">
        <is>
          <t>VÄRMLANDS LÄN</t>
        </is>
      </c>
      <c r="E4" t="inlineStr">
        <is>
          <t>HAMMARÖ</t>
        </is>
      </c>
      <c r="F4" t="inlineStr">
        <is>
          <t>Kommuner</t>
        </is>
      </c>
      <c r="G4" t="n">
        <v>4.6</v>
      </c>
      <c r="H4" t="n">
        <v>1</v>
      </c>
      <c r="I4" t="n">
        <v>0</v>
      </c>
      <c r="J4" t="n">
        <v>0</v>
      </c>
      <c r="K4" t="n">
        <v>1</v>
      </c>
      <c r="L4" t="n">
        <v>0</v>
      </c>
      <c r="M4" t="n">
        <v>0</v>
      </c>
      <c r="N4" t="n">
        <v>0</v>
      </c>
      <c r="O4" t="n">
        <v>1</v>
      </c>
      <c r="P4" t="n">
        <v>1</v>
      </c>
      <c r="Q4" t="n">
        <v>1</v>
      </c>
      <c r="R4" s="2" t="inlineStr">
        <is>
          <t>Knärot</t>
        </is>
      </c>
      <c r="S4">
        <f>HYPERLINK("https://klasma.github.io/Logging_1761/artfynd/A 24618-2022 artfynd.xlsx", "A 24618-2022")</f>
        <v/>
      </c>
      <c r="T4">
        <f>HYPERLINK("https://klasma.github.io/Logging_1761/kartor/A 24618-2022 karta.png", "A 24618-2022")</f>
        <v/>
      </c>
      <c r="U4">
        <f>HYPERLINK("https://klasma.github.io/Logging_1761/knärot/A 24618-2022 karta knärot.png", "A 24618-2022")</f>
        <v/>
      </c>
      <c r="V4">
        <f>HYPERLINK("https://klasma.github.io/Logging_1761/klagomål/A 24618-2022 FSC-klagomål.docx", "A 24618-2022")</f>
        <v/>
      </c>
      <c r="W4">
        <f>HYPERLINK("https://klasma.github.io/Logging_1761/klagomålsmail/A 24618-2022 FSC-klagomål mail.docx", "A 24618-2022")</f>
        <v/>
      </c>
      <c r="X4">
        <f>HYPERLINK("https://klasma.github.io/Logging_1761/tillsyn/A 24618-2022 tillsynsbegäran.docx", "A 24618-2022")</f>
        <v/>
      </c>
      <c r="Y4">
        <f>HYPERLINK("https://klasma.github.io/Logging_1761/tillsynsmail/A 24618-2022 tillsynsbegäran mail.docx", "A 24618-2022")</f>
        <v/>
      </c>
    </row>
    <row r="5" ht="15" customHeight="1">
      <c r="A5" t="inlineStr">
        <is>
          <t>A 55068-2023</t>
        </is>
      </c>
      <c r="B5" s="1" t="n">
        <v>45237</v>
      </c>
      <c r="C5" s="1" t="n">
        <v>45275</v>
      </c>
      <c r="D5" t="inlineStr">
        <is>
          <t>VÄRMLANDS LÄN</t>
        </is>
      </c>
      <c r="E5" t="inlineStr">
        <is>
          <t>HAMMARÖ</t>
        </is>
      </c>
      <c r="F5" t="inlineStr">
        <is>
          <t>Kommuner</t>
        </is>
      </c>
      <c r="G5" t="n">
        <v>2.4</v>
      </c>
      <c r="H5" t="n">
        <v>0</v>
      </c>
      <c r="I5" t="n">
        <v>0</v>
      </c>
      <c r="J5" t="n">
        <v>1</v>
      </c>
      <c r="K5" t="n">
        <v>0</v>
      </c>
      <c r="L5" t="n">
        <v>0</v>
      </c>
      <c r="M5" t="n">
        <v>0</v>
      </c>
      <c r="N5" t="n">
        <v>0</v>
      </c>
      <c r="O5" t="n">
        <v>1</v>
      </c>
      <c r="P5" t="n">
        <v>0</v>
      </c>
      <c r="Q5" t="n">
        <v>1</v>
      </c>
      <c r="R5" s="2" t="inlineStr">
        <is>
          <t>Motaggsvamp</t>
        </is>
      </c>
      <c r="S5">
        <f>HYPERLINK("https://klasma.github.io/Logging_1761/artfynd/A 55068-2023 artfynd.xlsx", "A 55068-2023")</f>
        <v/>
      </c>
      <c r="T5">
        <f>HYPERLINK("https://klasma.github.io/Logging_1761/kartor/A 55068-2023 karta.png", "A 55068-2023")</f>
        <v/>
      </c>
      <c r="V5">
        <f>HYPERLINK("https://klasma.github.io/Logging_1761/klagomål/A 55068-2023 FSC-klagomål.docx", "A 55068-2023")</f>
        <v/>
      </c>
      <c r="W5">
        <f>HYPERLINK("https://klasma.github.io/Logging_1761/klagomålsmail/A 55068-2023 FSC-klagomål mail.docx", "A 55068-2023")</f>
        <v/>
      </c>
      <c r="X5">
        <f>HYPERLINK("https://klasma.github.io/Logging_1761/tillsyn/A 55068-2023 tillsynsbegäran.docx", "A 55068-2023")</f>
        <v/>
      </c>
      <c r="Y5">
        <f>HYPERLINK("https://klasma.github.io/Logging_1761/tillsynsmail/A 55068-2023 tillsynsbegäran mail.docx", "A 55068-2023")</f>
        <v/>
      </c>
    </row>
    <row r="6" ht="15" customHeight="1">
      <c r="A6" t="inlineStr">
        <is>
          <t>A 60674-2018</t>
        </is>
      </c>
      <c r="B6" s="1" t="n">
        <v>43409</v>
      </c>
      <c r="C6" s="1" t="n">
        <v>45275</v>
      </c>
      <c r="D6" t="inlineStr">
        <is>
          <t>VÄRMLANDS LÄN</t>
        </is>
      </c>
      <c r="E6" t="inlineStr">
        <is>
          <t>HAMMARÖ</t>
        </is>
      </c>
      <c r="G6" t="n">
        <v>1.3</v>
      </c>
      <c r="H6" t="n">
        <v>0</v>
      </c>
      <c r="I6" t="n">
        <v>0</v>
      </c>
      <c r="J6" t="n">
        <v>0</v>
      </c>
      <c r="K6" t="n">
        <v>0</v>
      </c>
      <c r="L6" t="n">
        <v>0</v>
      </c>
      <c r="M6" t="n">
        <v>0</v>
      </c>
      <c r="N6" t="n">
        <v>0</v>
      </c>
      <c r="O6" t="n">
        <v>0</v>
      </c>
      <c r="P6" t="n">
        <v>0</v>
      </c>
      <c r="Q6" t="n">
        <v>0</v>
      </c>
      <c r="R6" s="2" t="inlineStr"/>
    </row>
    <row r="7" ht="15" customHeight="1">
      <c r="A7" t="inlineStr">
        <is>
          <t>A 67502-2018</t>
        </is>
      </c>
      <c r="B7" s="1" t="n">
        <v>43439</v>
      </c>
      <c r="C7" s="1" t="n">
        <v>45275</v>
      </c>
      <c r="D7" t="inlineStr">
        <is>
          <t>VÄRMLANDS LÄN</t>
        </is>
      </c>
      <c r="E7" t="inlineStr">
        <is>
          <t>HAMMARÖ</t>
        </is>
      </c>
      <c r="G7" t="n">
        <v>1.1</v>
      </c>
      <c r="H7" t="n">
        <v>0</v>
      </c>
      <c r="I7" t="n">
        <v>0</v>
      </c>
      <c r="J7" t="n">
        <v>0</v>
      </c>
      <c r="K7" t="n">
        <v>0</v>
      </c>
      <c r="L7" t="n">
        <v>0</v>
      </c>
      <c r="M7" t="n">
        <v>0</v>
      </c>
      <c r="N7" t="n">
        <v>0</v>
      </c>
      <c r="O7" t="n">
        <v>0</v>
      </c>
      <c r="P7" t="n">
        <v>0</v>
      </c>
      <c r="Q7" t="n">
        <v>0</v>
      </c>
      <c r="R7" s="2" t="inlineStr"/>
    </row>
    <row r="8" ht="15" customHeight="1">
      <c r="A8" t="inlineStr">
        <is>
          <t>A 23183-2020</t>
        </is>
      </c>
      <c r="B8" s="1" t="n">
        <v>43966</v>
      </c>
      <c r="C8" s="1" t="n">
        <v>45275</v>
      </c>
      <c r="D8" t="inlineStr">
        <is>
          <t>VÄRMLANDS LÄN</t>
        </is>
      </c>
      <c r="E8" t="inlineStr">
        <is>
          <t>HAMMARÖ</t>
        </is>
      </c>
      <c r="F8" t="inlineStr">
        <is>
          <t>Övriga Aktiebolag</t>
        </is>
      </c>
      <c r="G8" t="n">
        <v>1.1</v>
      </c>
      <c r="H8" t="n">
        <v>0</v>
      </c>
      <c r="I8" t="n">
        <v>0</v>
      </c>
      <c r="J8" t="n">
        <v>0</v>
      </c>
      <c r="K8" t="n">
        <v>0</v>
      </c>
      <c r="L8" t="n">
        <v>0</v>
      </c>
      <c r="M8" t="n">
        <v>0</v>
      </c>
      <c r="N8" t="n">
        <v>0</v>
      </c>
      <c r="O8" t="n">
        <v>0</v>
      </c>
      <c r="P8" t="n">
        <v>0</v>
      </c>
      <c r="Q8" t="n">
        <v>0</v>
      </c>
      <c r="R8" s="2" t="inlineStr"/>
    </row>
    <row r="9" ht="15" customHeight="1">
      <c r="A9" t="inlineStr">
        <is>
          <t>A 54326-2020</t>
        </is>
      </c>
      <c r="B9" s="1" t="n">
        <v>44126</v>
      </c>
      <c r="C9" s="1" t="n">
        <v>45275</v>
      </c>
      <c r="D9" t="inlineStr">
        <is>
          <t>VÄRMLANDS LÄN</t>
        </is>
      </c>
      <c r="E9" t="inlineStr">
        <is>
          <t>HAMMARÖ</t>
        </is>
      </c>
      <c r="G9" t="n">
        <v>0.7</v>
      </c>
      <c r="H9" t="n">
        <v>0</v>
      </c>
      <c r="I9" t="n">
        <v>0</v>
      </c>
      <c r="J9" t="n">
        <v>0</v>
      </c>
      <c r="K9" t="n">
        <v>0</v>
      </c>
      <c r="L9" t="n">
        <v>0</v>
      </c>
      <c r="M9" t="n">
        <v>0</v>
      </c>
      <c r="N9" t="n">
        <v>0</v>
      </c>
      <c r="O9" t="n">
        <v>0</v>
      </c>
      <c r="P9" t="n">
        <v>0</v>
      </c>
      <c r="Q9" t="n">
        <v>0</v>
      </c>
      <c r="R9" s="2" t="inlineStr"/>
    </row>
    <row r="10" ht="15" customHeight="1">
      <c r="A10" t="inlineStr">
        <is>
          <t>A 62456-2020</t>
        </is>
      </c>
      <c r="B10" s="1" t="n">
        <v>44160</v>
      </c>
      <c r="C10" s="1" t="n">
        <v>45275</v>
      </c>
      <c r="D10" t="inlineStr">
        <is>
          <t>VÄRMLANDS LÄN</t>
        </is>
      </c>
      <c r="E10" t="inlineStr">
        <is>
          <t>HAMMARÖ</t>
        </is>
      </c>
      <c r="F10" t="inlineStr">
        <is>
          <t>Kommuner</t>
        </is>
      </c>
      <c r="G10" t="n">
        <v>0.4</v>
      </c>
      <c r="H10" t="n">
        <v>0</v>
      </c>
      <c r="I10" t="n">
        <v>0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0</v>
      </c>
      <c r="R10" s="2" t="inlineStr"/>
    </row>
    <row r="11" ht="15" customHeight="1">
      <c r="A11" t="inlineStr">
        <is>
          <t>A 62608-2020</t>
        </is>
      </c>
      <c r="B11" s="1" t="n">
        <v>44161</v>
      </c>
      <c r="C11" s="1" t="n">
        <v>45275</v>
      </c>
      <c r="D11" t="inlineStr">
        <is>
          <t>VÄRMLANDS LÄN</t>
        </is>
      </c>
      <c r="E11" t="inlineStr">
        <is>
          <t>HAMMARÖ</t>
        </is>
      </c>
      <c r="F11" t="inlineStr">
        <is>
          <t>Kommuner</t>
        </is>
      </c>
      <c r="G11" t="n">
        <v>0.5</v>
      </c>
      <c r="H11" t="n">
        <v>0</v>
      </c>
      <c r="I11" t="n">
        <v>0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0</v>
      </c>
      <c r="R11" s="2" t="inlineStr"/>
    </row>
    <row r="12" ht="15" customHeight="1">
      <c r="A12" t="inlineStr">
        <is>
          <t>A 5072-2021</t>
        </is>
      </c>
      <c r="B12" s="1" t="n">
        <v>44228</v>
      </c>
      <c r="C12" s="1" t="n">
        <v>45275</v>
      </c>
      <c r="D12" t="inlineStr">
        <is>
          <t>VÄRMLANDS LÄN</t>
        </is>
      </c>
      <c r="E12" t="inlineStr">
        <is>
          <t>HAMMARÖ</t>
        </is>
      </c>
      <c r="G12" t="n">
        <v>0.5</v>
      </c>
      <c r="H12" t="n">
        <v>0</v>
      </c>
      <c r="I12" t="n">
        <v>0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0</v>
      </c>
      <c r="R12" s="2" t="inlineStr"/>
    </row>
    <row r="13" ht="15" customHeight="1">
      <c r="A13" t="inlineStr">
        <is>
          <t>A 16890-2021</t>
        </is>
      </c>
      <c r="B13" s="1" t="n">
        <v>44295</v>
      </c>
      <c r="C13" s="1" t="n">
        <v>45275</v>
      </c>
      <c r="D13" t="inlineStr">
        <is>
          <t>VÄRMLANDS LÄN</t>
        </is>
      </c>
      <c r="E13" t="inlineStr">
        <is>
          <t>HAMMARÖ</t>
        </is>
      </c>
      <c r="G13" t="n">
        <v>1.7</v>
      </c>
      <c r="H13" t="n">
        <v>0</v>
      </c>
      <c r="I13" t="n">
        <v>0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0</v>
      </c>
      <c r="R13" s="2" t="inlineStr"/>
    </row>
    <row r="14" ht="15" customHeight="1">
      <c r="A14" t="inlineStr">
        <is>
          <t>A 20755-2021</t>
        </is>
      </c>
      <c r="B14" s="1" t="n">
        <v>44316</v>
      </c>
      <c r="C14" s="1" t="n">
        <v>45275</v>
      </c>
      <c r="D14" t="inlineStr">
        <is>
          <t>VÄRMLANDS LÄN</t>
        </is>
      </c>
      <c r="E14" t="inlineStr">
        <is>
          <t>HAMMARÖ</t>
        </is>
      </c>
      <c r="G14" t="n">
        <v>16.8</v>
      </c>
      <c r="H14" t="n">
        <v>0</v>
      </c>
      <c r="I14" t="n">
        <v>0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0</v>
      </c>
      <c r="R14" s="2" t="inlineStr"/>
    </row>
    <row r="15" ht="15" customHeight="1">
      <c r="A15" t="inlineStr">
        <is>
          <t>A 43631-2021</t>
        </is>
      </c>
      <c r="B15" s="1" t="n">
        <v>44433</v>
      </c>
      <c r="C15" s="1" t="n">
        <v>45275</v>
      </c>
      <c r="D15" t="inlineStr">
        <is>
          <t>VÄRMLANDS LÄN</t>
        </is>
      </c>
      <c r="E15" t="inlineStr">
        <is>
          <t>HAMMARÖ</t>
        </is>
      </c>
      <c r="F15" t="inlineStr">
        <is>
          <t>Kommuner</t>
        </is>
      </c>
      <c r="G15" t="n">
        <v>0.2</v>
      </c>
      <c r="H15" t="n">
        <v>0</v>
      </c>
      <c r="I15" t="n">
        <v>0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0</v>
      </c>
      <c r="R15" s="2" t="inlineStr"/>
    </row>
    <row r="16" ht="15" customHeight="1">
      <c r="A16" t="inlineStr">
        <is>
          <t>A 56835-2021</t>
        </is>
      </c>
      <c r="B16" s="1" t="n">
        <v>44481</v>
      </c>
      <c r="C16" s="1" t="n">
        <v>45275</v>
      </c>
      <c r="D16" t="inlineStr">
        <is>
          <t>VÄRMLANDS LÄN</t>
        </is>
      </c>
      <c r="E16" t="inlineStr">
        <is>
          <t>HAMMARÖ</t>
        </is>
      </c>
      <c r="F16" t="inlineStr">
        <is>
          <t>Kommuner</t>
        </is>
      </c>
      <c r="G16" t="n">
        <v>18.8</v>
      </c>
      <c r="H16" t="n">
        <v>0</v>
      </c>
      <c r="I16" t="n">
        <v>0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0</v>
      </c>
      <c r="R16" s="2" t="inlineStr"/>
    </row>
    <row r="17" ht="15" customHeight="1">
      <c r="A17" t="inlineStr">
        <is>
          <t>A 68622-2021</t>
        </is>
      </c>
      <c r="B17" s="1" t="n">
        <v>44529</v>
      </c>
      <c r="C17" s="1" t="n">
        <v>45275</v>
      </c>
      <c r="D17" t="inlineStr">
        <is>
          <t>VÄRMLANDS LÄN</t>
        </is>
      </c>
      <c r="E17" t="inlineStr">
        <is>
          <t>HAMMARÖ</t>
        </is>
      </c>
      <c r="G17" t="n">
        <v>9.699999999999999</v>
      </c>
      <c r="H17" t="n">
        <v>0</v>
      </c>
      <c r="I17" t="n">
        <v>0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0</v>
      </c>
      <c r="R17" s="2" t="inlineStr"/>
    </row>
    <row r="18" ht="15" customHeight="1">
      <c r="A18" t="inlineStr">
        <is>
          <t>A 13354-2022</t>
        </is>
      </c>
      <c r="B18" s="1" t="n">
        <v>44645</v>
      </c>
      <c r="C18" s="1" t="n">
        <v>45275</v>
      </c>
      <c r="D18" t="inlineStr">
        <is>
          <t>VÄRMLANDS LÄN</t>
        </is>
      </c>
      <c r="E18" t="inlineStr">
        <is>
          <t>HAMMARÖ</t>
        </is>
      </c>
      <c r="G18" t="n">
        <v>1.1</v>
      </c>
      <c r="H18" t="n">
        <v>0</v>
      </c>
      <c r="I18" t="n">
        <v>0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0</v>
      </c>
      <c r="R18" s="2" t="inlineStr"/>
    </row>
    <row r="19" ht="15" customHeight="1">
      <c r="A19" t="inlineStr">
        <is>
          <t>A 13356-2022</t>
        </is>
      </c>
      <c r="B19" s="1" t="n">
        <v>44645</v>
      </c>
      <c r="C19" s="1" t="n">
        <v>45275</v>
      </c>
      <c r="D19" t="inlineStr">
        <is>
          <t>VÄRMLANDS LÄN</t>
        </is>
      </c>
      <c r="E19" t="inlineStr">
        <is>
          <t>HAMMARÖ</t>
        </is>
      </c>
      <c r="G19" t="n">
        <v>1.6</v>
      </c>
      <c r="H19" t="n">
        <v>0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  <c r="R19" s="2" t="inlineStr"/>
    </row>
    <row r="20" ht="15" customHeight="1">
      <c r="A20" t="inlineStr">
        <is>
          <t>A 56799-2022</t>
        </is>
      </c>
      <c r="B20" s="1" t="n">
        <v>44894</v>
      </c>
      <c r="C20" s="1" t="n">
        <v>45275</v>
      </c>
      <c r="D20" t="inlineStr">
        <is>
          <t>VÄRMLANDS LÄN</t>
        </is>
      </c>
      <c r="E20" t="inlineStr">
        <is>
          <t>HAMMARÖ</t>
        </is>
      </c>
      <c r="G20" t="n">
        <v>0.4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s="2" t="inlineStr"/>
    </row>
    <row r="21" ht="15" customHeight="1">
      <c r="A21" t="inlineStr">
        <is>
          <t>A 2769-2023</t>
        </is>
      </c>
      <c r="B21" s="1" t="n">
        <v>44944</v>
      </c>
      <c r="C21" s="1" t="n">
        <v>45275</v>
      </c>
      <c r="D21" t="inlineStr">
        <is>
          <t>VÄRMLANDS LÄN</t>
        </is>
      </c>
      <c r="E21" t="inlineStr">
        <is>
          <t>HAMMARÖ</t>
        </is>
      </c>
      <c r="G21" t="n">
        <v>8.699999999999999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s="2" t="inlineStr"/>
    </row>
    <row r="22" ht="15" customHeight="1">
      <c r="A22" t="inlineStr">
        <is>
          <t>A 41897-2023</t>
        </is>
      </c>
      <c r="B22" s="1" t="n">
        <v>45176</v>
      </c>
      <c r="C22" s="1" t="n">
        <v>45275</v>
      </c>
      <c r="D22" t="inlineStr">
        <is>
          <t>VÄRMLANDS LÄN</t>
        </is>
      </c>
      <c r="E22" t="inlineStr">
        <is>
          <t>HAMMARÖ</t>
        </is>
      </c>
      <c r="F22" t="inlineStr">
        <is>
          <t>Övriga Aktiebolag</t>
        </is>
      </c>
      <c r="G22" t="n">
        <v>2.2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s="2" t="inlineStr"/>
    </row>
    <row r="23" ht="15" customHeight="1">
      <c r="A23" t="inlineStr">
        <is>
          <t>A 41803-2023</t>
        </is>
      </c>
      <c r="B23" s="1" t="n">
        <v>45176</v>
      </c>
      <c r="C23" s="1" t="n">
        <v>45275</v>
      </c>
      <c r="D23" t="inlineStr">
        <is>
          <t>VÄRMLANDS LÄN</t>
        </is>
      </c>
      <c r="E23" t="inlineStr">
        <is>
          <t>HAMMARÖ</t>
        </is>
      </c>
      <c r="F23" t="inlineStr">
        <is>
          <t>Övriga Aktiebolag</t>
        </is>
      </c>
      <c r="G23" t="n">
        <v>1.2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41892-2023</t>
        </is>
      </c>
      <c r="B24" s="1" t="n">
        <v>45176</v>
      </c>
      <c r="C24" s="1" t="n">
        <v>45275</v>
      </c>
      <c r="D24" t="inlineStr">
        <is>
          <t>VÄRMLANDS LÄN</t>
        </is>
      </c>
      <c r="E24" t="inlineStr">
        <is>
          <t>HAMMARÖ</t>
        </is>
      </c>
      <c r="F24" t="inlineStr">
        <is>
          <t>Övriga Aktiebolag</t>
        </is>
      </c>
      <c r="G24" t="n">
        <v>1.2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41891-2023</t>
        </is>
      </c>
      <c r="B25" s="1" t="n">
        <v>45176</v>
      </c>
      <c r="C25" s="1" t="n">
        <v>45275</v>
      </c>
      <c r="D25" t="inlineStr">
        <is>
          <t>VÄRMLANDS LÄN</t>
        </is>
      </c>
      <c r="E25" t="inlineStr">
        <is>
          <t>HAMMARÖ</t>
        </is>
      </c>
      <c r="F25" t="inlineStr">
        <is>
          <t>Övriga Aktiebolag</t>
        </is>
      </c>
      <c r="G25" t="n">
        <v>0.7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41895-2023</t>
        </is>
      </c>
      <c r="B26" s="1" t="n">
        <v>45176</v>
      </c>
      <c r="C26" s="1" t="n">
        <v>45275</v>
      </c>
      <c r="D26" t="inlineStr">
        <is>
          <t>VÄRMLANDS LÄN</t>
        </is>
      </c>
      <c r="E26" t="inlineStr">
        <is>
          <t>HAMMARÖ</t>
        </is>
      </c>
      <c r="F26" t="inlineStr">
        <is>
          <t>Övriga Aktiebolag</t>
        </is>
      </c>
      <c r="G26" t="n">
        <v>0.6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41899-2023</t>
        </is>
      </c>
      <c r="B27" s="1" t="n">
        <v>45176</v>
      </c>
      <c r="C27" s="1" t="n">
        <v>45275</v>
      </c>
      <c r="D27" t="inlineStr">
        <is>
          <t>VÄRMLANDS LÄN</t>
        </is>
      </c>
      <c r="E27" t="inlineStr">
        <is>
          <t>HAMMARÖ</t>
        </is>
      </c>
      <c r="F27" t="inlineStr">
        <is>
          <t>Övriga Aktiebolag</t>
        </is>
      </c>
      <c r="G27" t="n">
        <v>1.8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42303-2023</t>
        </is>
      </c>
      <c r="B28" s="1" t="n">
        <v>45180</v>
      </c>
      <c r="C28" s="1" t="n">
        <v>45275</v>
      </c>
      <c r="D28" t="inlineStr">
        <is>
          <t>VÄRMLANDS LÄN</t>
        </is>
      </c>
      <c r="E28" t="inlineStr">
        <is>
          <t>HAMMARÖ</t>
        </is>
      </c>
      <c r="G28" t="n">
        <v>2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42337-2023</t>
        </is>
      </c>
      <c r="B29" s="1" t="n">
        <v>45180</v>
      </c>
      <c r="C29" s="1" t="n">
        <v>45275</v>
      </c>
      <c r="D29" t="inlineStr">
        <is>
          <t>VÄRMLANDS LÄN</t>
        </is>
      </c>
      <c r="E29" t="inlineStr">
        <is>
          <t>HAMMARÖ</t>
        </is>
      </c>
      <c r="F29" t="inlineStr">
        <is>
          <t>Övriga Aktiebolag</t>
        </is>
      </c>
      <c r="G29" t="n">
        <v>9.6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42339-2023</t>
        </is>
      </c>
      <c r="B30" s="1" t="n">
        <v>45180</v>
      </c>
      <c r="C30" s="1" t="n">
        <v>45275</v>
      </c>
      <c r="D30" t="inlineStr">
        <is>
          <t>VÄRMLANDS LÄN</t>
        </is>
      </c>
      <c r="E30" t="inlineStr">
        <is>
          <t>HAMMARÖ</t>
        </is>
      </c>
      <c r="F30" t="inlineStr">
        <is>
          <t>Övriga Aktiebolag</t>
        </is>
      </c>
      <c r="G30" t="n">
        <v>4.3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42344-2023</t>
        </is>
      </c>
      <c r="B31" s="1" t="n">
        <v>45180</v>
      </c>
      <c r="C31" s="1" t="n">
        <v>45275</v>
      </c>
      <c r="D31" t="inlineStr">
        <is>
          <t>VÄRMLANDS LÄN</t>
        </is>
      </c>
      <c r="E31" t="inlineStr">
        <is>
          <t>HAMMARÖ</t>
        </is>
      </c>
      <c r="F31" t="inlineStr">
        <is>
          <t>Övriga Aktiebolag</t>
        </is>
      </c>
      <c r="G31" t="n">
        <v>3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42957-2023</t>
        </is>
      </c>
      <c r="B32" s="1" t="n">
        <v>45182</v>
      </c>
      <c r="C32" s="1" t="n">
        <v>45275</v>
      </c>
      <c r="D32" t="inlineStr">
        <is>
          <t>VÄRMLANDS LÄN</t>
        </is>
      </c>
      <c r="E32" t="inlineStr">
        <is>
          <t>HAMMARÖ</t>
        </is>
      </c>
      <c r="F32" t="inlineStr">
        <is>
          <t>Övriga Aktiebolag</t>
        </is>
      </c>
      <c r="G32" t="n">
        <v>0.5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42951-2023</t>
        </is>
      </c>
      <c r="B33" s="1" t="n">
        <v>45182</v>
      </c>
      <c r="C33" s="1" t="n">
        <v>45275</v>
      </c>
      <c r="D33" t="inlineStr">
        <is>
          <t>VÄRMLANDS LÄN</t>
        </is>
      </c>
      <c r="E33" t="inlineStr">
        <is>
          <t>HAMMARÖ</t>
        </is>
      </c>
      <c r="F33" t="inlineStr">
        <is>
          <t>Övriga Aktiebolag</t>
        </is>
      </c>
      <c r="G33" t="n">
        <v>0.8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42955-2023</t>
        </is>
      </c>
      <c r="B34" s="1" t="n">
        <v>45182</v>
      </c>
      <c r="C34" s="1" t="n">
        <v>45275</v>
      </c>
      <c r="D34" t="inlineStr">
        <is>
          <t>VÄRMLANDS LÄN</t>
        </is>
      </c>
      <c r="E34" t="inlineStr">
        <is>
          <t>HAMMARÖ</t>
        </is>
      </c>
      <c r="F34" t="inlineStr">
        <is>
          <t>Övriga Aktiebolag</t>
        </is>
      </c>
      <c r="G34" t="n">
        <v>0.3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42960-2023</t>
        </is>
      </c>
      <c r="B35" s="1" t="n">
        <v>45182</v>
      </c>
      <c r="C35" s="1" t="n">
        <v>45275</v>
      </c>
      <c r="D35" t="inlineStr">
        <is>
          <t>VÄRMLANDS LÄN</t>
        </is>
      </c>
      <c r="E35" t="inlineStr">
        <is>
          <t>HAMMARÖ</t>
        </is>
      </c>
      <c r="F35" t="inlineStr">
        <is>
          <t>Övriga Aktiebolag</t>
        </is>
      </c>
      <c r="G35" t="n">
        <v>0.4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47008-2023</t>
        </is>
      </c>
      <c r="B36" s="1" t="n">
        <v>45201</v>
      </c>
      <c r="C36" s="1" t="n">
        <v>45275</v>
      </c>
      <c r="D36" t="inlineStr">
        <is>
          <t>VÄRMLANDS LÄN</t>
        </is>
      </c>
      <c r="E36" t="inlineStr">
        <is>
          <t>HAMMARÖ</t>
        </is>
      </c>
      <c r="F36" t="inlineStr">
        <is>
          <t>Kommuner</t>
        </is>
      </c>
      <c r="G36" t="n">
        <v>3.3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46982-2023</t>
        </is>
      </c>
      <c r="B37" s="1" t="n">
        <v>45201</v>
      </c>
      <c r="C37" s="1" t="n">
        <v>45275</v>
      </c>
      <c r="D37" t="inlineStr">
        <is>
          <t>VÄRMLANDS LÄN</t>
        </is>
      </c>
      <c r="E37" t="inlineStr">
        <is>
          <t>HAMMARÖ</t>
        </is>
      </c>
      <c r="F37" t="inlineStr">
        <is>
          <t>Kommuner</t>
        </is>
      </c>
      <c r="G37" t="n">
        <v>3.8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51008-2023</t>
        </is>
      </c>
      <c r="B38" s="1" t="n">
        <v>45218</v>
      </c>
      <c r="C38" s="1" t="n">
        <v>45275</v>
      </c>
      <c r="D38" t="inlineStr">
        <is>
          <t>VÄRMLANDS LÄN</t>
        </is>
      </c>
      <c r="E38" t="inlineStr">
        <is>
          <t>HAMMARÖ</t>
        </is>
      </c>
      <c r="F38" t="inlineStr">
        <is>
          <t>Kommuner</t>
        </is>
      </c>
      <c r="G38" t="n">
        <v>0.5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53288-2023</t>
        </is>
      </c>
      <c r="B39" s="1" t="n">
        <v>45229</v>
      </c>
      <c r="C39" s="1" t="n">
        <v>45275</v>
      </c>
      <c r="D39" t="inlineStr">
        <is>
          <t>VÄRMLANDS LÄN</t>
        </is>
      </c>
      <c r="E39" t="inlineStr">
        <is>
          <t>HAMMARÖ</t>
        </is>
      </c>
      <c r="F39" t="inlineStr">
        <is>
          <t>Övriga Aktiebolag</t>
        </is>
      </c>
      <c r="G39" t="n">
        <v>0.1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53276-2023</t>
        </is>
      </c>
      <c r="B40" s="1" t="n">
        <v>45229</v>
      </c>
      <c r="C40" s="1" t="n">
        <v>45275</v>
      </c>
      <c r="D40" t="inlineStr">
        <is>
          <t>VÄRMLANDS LÄN</t>
        </is>
      </c>
      <c r="E40" t="inlineStr">
        <is>
          <t>HAMMARÖ</t>
        </is>
      </c>
      <c r="F40" t="inlineStr">
        <is>
          <t>Övriga Aktiebolag</t>
        </is>
      </c>
      <c r="G40" t="n">
        <v>0.3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55066-2023</t>
        </is>
      </c>
      <c r="B41" s="1" t="n">
        <v>45237</v>
      </c>
      <c r="C41" s="1" t="n">
        <v>45275</v>
      </c>
      <c r="D41" t="inlineStr">
        <is>
          <t>VÄRMLANDS LÄN</t>
        </is>
      </c>
      <c r="E41" t="inlineStr">
        <is>
          <t>HAMMARÖ</t>
        </is>
      </c>
      <c r="F41" t="inlineStr">
        <is>
          <t>Kommuner</t>
        </is>
      </c>
      <c r="G41" t="n">
        <v>0.9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55069-2023</t>
        </is>
      </c>
      <c r="B42" s="1" t="n">
        <v>45237</v>
      </c>
      <c r="C42" s="1" t="n">
        <v>45275</v>
      </c>
      <c r="D42" t="inlineStr">
        <is>
          <t>VÄRMLANDS LÄN</t>
        </is>
      </c>
      <c r="E42" t="inlineStr">
        <is>
          <t>HAMMARÖ</t>
        </is>
      </c>
      <c r="F42" t="inlineStr">
        <is>
          <t>Kommuner</t>
        </is>
      </c>
      <c r="G42" t="n">
        <v>3.2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57893-2023</t>
        </is>
      </c>
      <c r="B43" s="1" t="n">
        <v>45247</v>
      </c>
      <c r="C43" s="1" t="n">
        <v>45275</v>
      </c>
      <c r="D43" t="inlineStr">
        <is>
          <t>VÄRMLANDS LÄN</t>
        </is>
      </c>
      <c r="E43" t="inlineStr">
        <is>
          <t>HAMMARÖ</t>
        </is>
      </c>
      <c r="F43" t="inlineStr">
        <is>
          <t>Kommuner</t>
        </is>
      </c>
      <c r="G43" t="n">
        <v>0.7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>
      <c r="A44" t="inlineStr">
        <is>
          <t>A 57896-2023</t>
        </is>
      </c>
      <c r="B44" s="1" t="n">
        <v>45247</v>
      </c>
      <c r="C44" s="1" t="n">
        <v>45275</v>
      </c>
      <c r="D44" t="inlineStr">
        <is>
          <t>VÄRMLANDS LÄN</t>
        </is>
      </c>
      <c r="E44" t="inlineStr">
        <is>
          <t>HAMMARÖ</t>
        </is>
      </c>
      <c r="F44" t="inlineStr">
        <is>
          <t>Kommuner</t>
        </is>
      </c>
      <c r="G44" t="n">
        <v>2.6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2023-12-15T09:38:01Z</dcterms:created>
  <dcterms:modified xmlns:dcterms="http://purl.org/dc/terms/" xmlns:xsi="http://www.w3.org/2001/XMLSchema-instance" xsi:type="dcterms:W3CDTF">2023-12-15T09:38:01Z</dcterms:modified>
</cp:coreProperties>
</file>