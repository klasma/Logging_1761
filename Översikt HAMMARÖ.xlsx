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45932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45932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45932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45932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45932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45932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45932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45932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45932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45407-2025</t>
        </is>
      </c>
      <c r="B11" s="1" t="n">
        <v>45922.43200231482</v>
      </c>
      <c r="C11" s="1" t="n">
        <v>45932</v>
      </c>
      <c r="D11" t="inlineStr">
        <is>
          <t>VÄRMLANDS LÄN</t>
        </is>
      </c>
      <c r="E11" t="inlineStr">
        <is>
          <t>HAMMARÖ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HYPERLINK("https://klasma.github.io/Logging_1761/artfynd/A 45407-2025 artfynd.xlsx", "A 45407-2025")</f>
        <v/>
      </c>
      <c r="T11">
        <f>HYPERLINK("https://klasma.github.io/Logging_1761/kartor/A 45407-2025 karta.png", "A 45407-2025")</f>
        <v/>
      </c>
      <c r="V11">
        <f>HYPERLINK("https://klasma.github.io/Logging_1761/klagomål/A 45407-2025 FSC-klagomål.docx", "A 45407-2025")</f>
        <v/>
      </c>
      <c r="W11">
        <f>HYPERLINK("https://klasma.github.io/Logging_1761/klagomålsmail/A 45407-2025 FSC-klagomål mail.docx", "A 45407-2025")</f>
        <v/>
      </c>
      <c r="X11">
        <f>HYPERLINK("https://klasma.github.io/Logging_1761/tillsyn/A 45407-2025 tillsynsbegäran.docx", "A 45407-2025")</f>
        <v/>
      </c>
      <c r="Y11">
        <f>HYPERLINK("https://klasma.github.io/Logging_1761/tillsynsmail/A 45407-2025 tillsynsbegäran mail.docx", "A 45407-2025")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45932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45932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45932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45932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42955-2023</t>
        </is>
      </c>
      <c r="B16" s="1" t="n">
        <v>45182</v>
      </c>
      <c r="C16" s="1" t="n">
        <v>45932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42960-2023</t>
        </is>
      </c>
      <c r="B17" s="1" t="n">
        <v>45182</v>
      </c>
      <c r="C17" s="1" t="n">
        <v>45932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5072-2021</t>
        </is>
      </c>
      <c r="B18" s="1" t="n">
        <v>44228</v>
      </c>
      <c r="C18" s="1" t="n">
        <v>45932</v>
      </c>
      <c r="D18" t="inlineStr">
        <is>
          <t>VÄRMLANDS LÄN</t>
        </is>
      </c>
      <c r="E18" t="inlineStr">
        <is>
          <t>HAMMARÖ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  <c r="U18">
        <f>HYPERLINK("https://klasma.github.io/Logging_1761/knärot/A 5072-2021 karta knärot.png", "A 5072-2021")</f>
        <v/>
      </c>
      <c r="V18">
        <f>HYPERLINK("https://klasma.github.io/Logging_1761/klagomål/A 5072-2021 FSC-klagomål.docx", "A 5072-2021")</f>
        <v/>
      </c>
      <c r="W18">
        <f>HYPERLINK("https://klasma.github.io/Logging_1761/klagomålsmail/A 5072-2021 FSC-klagomål mail.docx", "A 5072-2021")</f>
        <v/>
      </c>
      <c r="X18">
        <f>HYPERLINK("https://klasma.github.io/Logging_1761/tillsyn/A 5072-2021 tillsynsbegäran.docx", "A 5072-2021")</f>
        <v/>
      </c>
      <c r="Y18">
        <f>HYPERLINK("https://klasma.github.io/Logging_1761/tillsynsmail/A 5072-2021 tillsynsbegäran mail.docx", "A 5072-2021")</f>
        <v/>
      </c>
    </row>
    <row r="19" ht="15" customHeight="1">
      <c r="A19" t="inlineStr">
        <is>
          <t>A 55069-2023</t>
        </is>
      </c>
      <c r="B19" s="1" t="n">
        <v>45237</v>
      </c>
      <c r="C19" s="1" t="n">
        <v>45932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51008-2023</t>
        </is>
      </c>
      <c r="B20" s="1" t="n">
        <v>45218</v>
      </c>
      <c r="C20" s="1" t="n">
        <v>45932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42957-2023</t>
        </is>
      </c>
      <c r="B21" s="1" t="n">
        <v>45182</v>
      </c>
      <c r="C21" s="1" t="n">
        <v>45932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45932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41895-2023</t>
        </is>
      </c>
      <c r="B23" s="1" t="n">
        <v>45176</v>
      </c>
      <c r="C23" s="1" t="n">
        <v>45932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58382-2024</t>
        </is>
      </c>
      <c r="B24" s="1" t="n">
        <v>45632</v>
      </c>
      <c r="C24" s="1" t="n">
        <v>45932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13354-2022</t>
        </is>
      </c>
      <c r="B25" s="1" t="n">
        <v>44645</v>
      </c>
      <c r="C25" s="1" t="n">
        <v>45932</v>
      </c>
      <c r="D25" t="inlineStr">
        <is>
          <t>VÄRMLANDS LÄN</t>
        </is>
      </c>
      <c r="E25" t="inlineStr">
        <is>
          <t>HAMMARÖ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37934-2024</t>
        </is>
      </c>
      <c r="B26" s="1" t="n">
        <v>45544</v>
      </c>
      <c r="C26" s="1" t="n">
        <v>45932</v>
      </c>
      <c r="D26" t="inlineStr">
        <is>
          <t>VÄRMLANDS LÄN</t>
        </is>
      </c>
      <c r="E26" t="inlineStr">
        <is>
          <t>HAMMARÖ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10793-2025</t>
        </is>
      </c>
      <c r="B27" s="1" t="n">
        <v>45722</v>
      </c>
      <c r="C27" s="1" t="n">
        <v>45932</v>
      </c>
      <c r="D27" t="inlineStr">
        <is>
          <t>VÄRMLANDS LÄN</t>
        </is>
      </c>
      <c r="E27" t="inlineStr">
        <is>
          <t>HAMMARÖ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45932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45932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62456-2020</t>
        </is>
      </c>
      <c r="B30" s="1" t="n">
        <v>44160</v>
      </c>
      <c r="C30" s="1" t="n">
        <v>45932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41661-2025</t>
        </is>
      </c>
      <c r="B31" s="1" t="n">
        <v>45902</v>
      </c>
      <c r="C31" s="1" t="n">
        <v>45932</v>
      </c>
      <c r="D31" t="inlineStr">
        <is>
          <t>VÄRMLANDS LÄN</t>
        </is>
      </c>
      <c r="E31" t="inlineStr">
        <is>
          <t>HAMMARÖ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47571-2025</t>
        </is>
      </c>
      <c r="B32" s="1" t="n">
        <v>45931.39516203704</v>
      </c>
      <c r="C32" s="1" t="n">
        <v>45932</v>
      </c>
      <c r="D32" t="inlineStr">
        <is>
          <t>VÄRMLANDS LÄN</t>
        </is>
      </c>
      <c r="E32" t="inlineStr">
        <is>
          <t>HAMMARÖ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45932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45932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57893-2023</t>
        </is>
      </c>
      <c r="B35" s="1" t="n">
        <v>45247</v>
      </c>
      <c r="C35" s="1" t="n">
        <v>45932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53369-2024</t>
        </is>
      </c>
      <c r="B36" s="1" t="n">
        <v>45614</v>
      </c>
      <c r="C36" s="1" t="n">
        <v>45932</v>
      </c>
      <c r="D36" t="inlineStr">
        <is>
          <t>VÄRMLANDS LÄN</t>
        </is>
      </c>
      <c r="E36" t="inlineStr">
        <is>
          <t>HAMMARÖ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45423-2025</t>
        </is>
      </c>
      <c r="B37" s="1" t="n">
        <v>45922.45137731481</v>
      </c>
      <c r="C37" s="1" t="n">
        <v>45932</v>
      </c>
      <c r="D37" t="inlineStr">
        <is>
          <t>VÄRMLANDS LÄN</t>
        </is>
      </c>
      <c r="E37" t="inlineStr">
        <is>
          <t>HAMMARÖ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58383-2024</t>
        </is>
      </c>
      <c r="B38" s="1" t="n">
        <v>45632</v>
      </c>
      <c r="C38" s="1" t="n">
        <v>45932</v>
      </c>
      <c r="D38" t="inlineStr">
        <is>
          <t>VÄRMLANDS LÄN</t>
        </is>
      </c>
      <c r="E38" t="inlineStr">
        <is>
          <t>HAMMARÖ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2769-2023</t>
        </is>
      </c>
      <c r="B39" s="1" t="n">
        <v>44944</v>
      </c>
      <c r="C39" s="1" t="n">
        <v>45932</v>
      </c>
      <c r="D39" t="inlineStr">
        <is>
          <t>VÄRMLANDS LÄN</t>
        </is>
      </c>
      <c r="E39" t="inlineStr">
        <is>
          <t>HAMMARÖ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2025-10-02T12:45:28Z</dcterms:created>
  <dcterms:modified xmlns:dcterms="http://purl.org/dc/terms/" xmlns:xsi="http://www.w3.org/2001/XMLSchema-instance" xsi:type="dcterms:W3CDTF">2025-10-02T12:45:28Z</dcterms:modified>
</cp:coreProperties>
</file>