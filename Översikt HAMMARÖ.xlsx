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46259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46259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46259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46259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47571-2025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45931</v>
      </c>
      <c r="E6" s="1" t="n">
        <v>46259</v>
      </c>
      <c r="F6" t="inlineStr">
        <is>
          <t>VÄRMLANDS LÄN</t>
        </is>
      </c>
      <c r="G6" t="inlineStr">
        <is>
          <t>HAMMARÖ</t>
        </is>
      </c>
      <c r="I6" t="n">
        <v>8.300000000000001</v>
      </c>
      <c r="J6" t="n">
        <v>4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11</v>
      </c>
      <c r="U6" t="n">
        <v>11</v>
      </c>
      <c r="V6" s="2" t="inlineStr">
        <is>
          <t>Långskägg
Knärot
Motaggsvamp
Tjäder
Kungsfågel</t>
        </is>
      </c>
      <c r="W6">
        <f>HYPERLINK("https://klasma.github.io/Logging_1761/artfynd/A 47571-2025 artfynd.xlsx", "A 47571-2025")</f>
        <v/>
      </c>
      <c r="X6">
        <f>HYPERLINK("https://klasma.github.io/Logging_1761/kartor/A 47571-2025 karta.png", "A 47571-2025")</f>
        <v/>
      </c>
      <c r="Y6">
        <f>HYPERLINK("https://klasma.github.io/Logging_1761/kartor_geotiff/A 47571-2025 georefererad karta.tif", "A 47571-2025")</f>
        <v/>
      </c>
      <c r="Z6">
        <f>HYPERLINK("https://klasma.github.io/Logging_1761/knärot/A 47571-2025 karta knärot.png", "A 47571-2025")</f>
        <v/>
      </c>
      <c r="AA6">
        <f>HYPERLINK("https://klasma.github.io/Logging_1761/klagomål/A 47571-2025 FSC-klagomål.docx", "A 47571-2025")</f>
        <v/>
      </c>
      <c r="AB6">
        <f>HYPERLINK("https://klasma.github.io/Logging_1761/klagomålsmail/A 47571-2025 FSC-klagomål mail.docx", "A 47571-2025")</f>
        <v/>
      </c>
      <c r="AC6">
        <f>HYPERLINK("https://klasma.github.io/Logging_1761/tillsyn/A 47571-2025 tillsynsbegäran.docx", "A 47571-2025")</f>
        <v/>
      </c>
      <c r="AD6">
        <f>HYPERLINK("https://klasma.github.io/Logging_1761/tillsynsmail/A 47571-2025 tillsynsbegäran mail.docx", "A 47571-2025")</f>
        <v/>
      </c>
      <c r="AE6">
        <f>HYPERLINK("https://klasma.github.io/Logging_1761/fåglar/A 47571-2025 prioriterade fågelarter.docx", "A 47571-2025")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46259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46259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46259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46259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46259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55068-2023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46259</v>
      </c>
      <c r="F12" t="inlineStr">
        <is>
          <t>VÄRMLANDS LÄN</t>
        </is>
      </c>
      <c r="G12" t="inlineStr">
        <is>
          <t>HAMMARÖ</t>
        </is>
      </c>
      <c r="H12" t="inlineStr">
        <is>
          <t>Kommuner</t>
        </is>
      </c>
      <c r="I12" t="n">
        <v>2.4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Motaggsvamp</t>
        </is>
      </c>
      <c r="W12">
        <f>HYPERLINK("https://klasma.github.io/Logging_1761/artfynd/A 55068-2023 artfynd.xlsx", "A 55068-2023")</f>
        <v/>
      </c>
      <c r="X12">
        <f>HYPERLINK("https://klasma.github.io/Logging_1761/kartor/A 55068-2023 karta.png", "A 55068-2023")</f>
        <v/>
      </c>
      <c r="Y12">
        <f>HYPERLINK("https://klasma.github.io/Logging_1761/kartor_geotiff/A 55068-2023 georefererad karta.tif", "A 55068-2023")</f>
        <v/>
      </c>
      <c r="AA12">
        <f>HYPERLINK("https://klasma.github.io/Logging_1761/klagomål/A 55068-2023 FSC-klagomål.docx", "A 55068-2023")</f>
        <v/>
      </c>
      <c r="AB12">
        <f>HYPERLINK("https://klasma.github.io/Logging_1761/klagomålsmail/A 55068-2023 FSC-klagomål mail.docx", "A 55068-2023")</f>
        <v/>
      </c>
      <c r="AC12">
        <f>HYPERLINK("https://klasma.github.io/Logging_1761/tillsyn/A 55068-2023 tillsynsbegäran.docx", "A 55068-2023")</f>
        <v/>
      </c>
      <c r="AD12">
        <f>HYPERLINK("https://klasma.github.io/Logging_1761/tillsynsmail/A 55068-2023 tillsynsbegäran mail.docx", "A 55068-2023")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46259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41899-2023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45176</v>
      </c>
      <c r="E14" s="1" t="n">
        <v>46259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Grönsiska</t>
        </is>
      </c>
      <c r="W14">
        <f>HYPERLINK("https://klasma.github.io/Logging_1761/artfynd/A 41899-2023 artfynd.xlsx", "A 41899-2023")</f>
        <v/>
      </c>
      <c r="X14">
        <f>HYPERLINK("https://klasma.github.io/Logging_1761/kartor/A 41899-2023 karta.png", "A 41899-2023")</f>
        <v/>
      </c>
      <c r="Y14">
        <f>HYPERLINK("https://klasma.github.io/Logging_1761/kartor_geotiff/A 41899-2023 georefererad karta.tif", "A 41899-2023")</f>
        <v/>
      </c>
      <c r="AA14">
        <f>HYPERLINK("https://klasma.github.io/Logging_1761/klagomål/A 41899-2023 FSC-klagomål.docx", "A 41899-2023")</f>
        <v/>
      </c>
      <c r="AB14">
        <f>HYPERLINK("https://klasma.github.io/Logging_1761/klagomålsmail/A 41899-2023 FSC-klagomål mail.docx", "A 41899-2023")</f>
        <v/>
      </c>
      <c r="AC14">
        <f>HYPERLINK("https://klasma.github.io/Logging_1761/tillsyn/A 41899-2023 tillsynsbegäran.docx", "A 41899-2023")</f>
        <v/>
      </c>
      <c r="AD14">
        <f>HYPERLINK("https://klasma.github.io/Logging_1761/tillsynsmail/A 41899-2023 tillsynsbegäran mail.docx", "A 41899-2023")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46259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46259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46259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55069-2023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45237</v>
      </c>
      <c r="E18" s="1" t="n">
        <v>46259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51008-2023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45218</v>
      </c>
      <c r="E19" s="1" t="n">
        <v>46259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58383-2024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46259</v>
      </c>
      <c r="F20" t="inlineStr">
        <is>
          <t>VÄRMLANDS LÄN</t>
        </is>
      </c>
      <c r="G20" t="inlineStr">
        <is>
          <t>HAMMARÖ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53369-2024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46259</v>
      </c>
      <c r="F21" t="inlineStr">
        <is>
          <t>VÄRMLANDS LÄN</t>
        </is>
      </c>
      <c r="G21" t="inlineStr">
        <is>
          <t>HAMMARÖ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57893-2023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45247</v>
      </c>
      <c r="E22" s="1" t="n">
        <v>46259</v>
      </c>
      <c r="F22" t="inlineStr">
        <is>
          <t>VÄRMLANDS LÄN</t>
        </is>
      </c>
      <c r="G22" t="inlineStr">
        <is>
          <t>HAMMARÖ</t>
        </is>
      </c>
      <c r="H22" t="inlineStr">
        <is>
          <t>Kommuner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13356-2022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44645</v>
      </c>
      <c r="E23" s="1" t="n">
        <v>46259</v>
      </c>
      <c r="F23" t="inlineStr">
        <is>
          <t>VÄRMLANDS LÄN</t>
        </is>
      </c>
      <c r="G23" t="inlineStr">
        <is>
          <t>HAMMARÖ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37934-2024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45544</v>
      </c>
      <c r="E24" s="1" t="n">
        <v>46259</v>
      </c>
      <c r="F24" t="inlineStr">
        <is>
          <t>VÄRMLANDS LÄN</t>
        </is>
      </c>
      <c r="G24" t="inlineStr">
        <is>
          <t>HAMMARÖ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42951-2023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46259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46259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46259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56799-2022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44894</v>
      </c>
      <c r="E28" s="1" t="n">
        <v>46259</v>
      </c>
      <c r="F28" t="inlineStr">
        <is>
          <t>VÄRMLANDS LÄN</t>
        </is>
      </c>
      <c r="G28" t="inlineStr">
        <is>
          <t>HAMMARÖ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41895-2023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45176</v>
      </c>
      <c r="E29" s="1" t="n">
        <v>46259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46259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46259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46259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46259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2026-08-25T01:50:23Z</dcterms:created>
  <dcterms:modified xmlns:dcterms="http://purl.org/dc/terms/" xmlns:xsi="http://www.w3.org/2001/XMLSchema-instance" xsi:type="dcterms:W3CDTF">2026-08-25T01:50:23Z</dcterms:modified>
</cp:coreProperties>
</file>