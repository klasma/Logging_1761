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45891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45891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45891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53276-2023</t>
        </is>
      </c>
      <c r="B5" s="1" t="n">
        <v>45229</v>
      </c>
      <c r="C5" s="1" t="n">
        <v>45891</v>
      </c>
      <c r="D5" t="inlineStr">
        <is>
          <t>VÄRMLANDS LÄN</t>
        </is>
      </c>
      <c r="E5" t="inlineStr">
        <is>
          <t>HAMMARÖ</t>
        </is>
      </c>
      <c r="F5" t="inlineStr">
        <is>
          <t>Övriga Aktiebolag</t>
        </is>
      </c>
      <c r="G5" t="n">
        <v>0.3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Mindre flugsnappare
Vanlig groda</t>
        </is>
      </c>
      <c r="S5">
        <f>HYPERLINK("https://klasma.github.io/Logging_1761/artfynd/A 53276-2023 artfynd.xlsx", "A 53276-2023")</f>
        <v/>
      </c>
      <c r="T5">
        <f>HYPERLINK("https://klasma.github.io/Logging_1761/kartor/A 53276-2023 karta.png", "A 53276-2023")</f>
        <v/>
      </c>
      <c r="V5">
        <f>HYPERLINK("https://klasma.github.io/Logging_1761/klagomål/A 53276-2023 FSC-klagomål.docx", "A 53276-2023")</f>
        <v/>
      </c>
      <c r="W5">
        <f>HYPERLINK("https://klasma.github.io/Logging_1761/klagomålsmail/A 53276-2023 FSC-klagomål mail.docx", "A 53276-2023")</f>
        <v/>
      </c>
      <c r="X5">
        <f>HYPERLINK("https://klasma.github.io/Logging_1761/tillsyn/A 53276-2023 tillsynsbegäran.docx", "A 53276-2023")</f>
        <v/>
      </c>
      <c r="Y5">
        <f>HYPERLINK("https://klasma.github.io/Logging_1761/tillsynsmail/A 53276-2023 tillsynsbegäran mail.docx", "A 53276-2023")</f>
        <v/>
      </c>
      <c r="Z5">
        <f>HYPERLINK("https://klasma.github.io/Logging_1761/fåglar/A 53276-2023 prioriterade fågelarter.docx", "A 53276-2023")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45891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54326-2020</t>
        </is>
      </c>
      <c r="B7" s="1" t="n">
        <v>44126</v>
      </c>
      <c r="C7" s="1" t="n">
        <v>45891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Törnskata</t>
        </is>
      </c>
      <c r="S7">
        <f>HYPERLINK("https://klasma.github.io/Logging_1761/artfynd/A 54326-2020 artfynd.xlsx", "A 54326-2020")</f>
        <v/>
      </c>
      <c r="T7">
        <f>HYPERLINK("https://klasma.github.io/Logging_1761/kartor/A 54326-2020 karta.png", "A 54326-2020")</f>
        <v/>
      </c>
      <c r="V7">
        <f>HYPERLINK("https://klasma.github.io/Logging_1761/klagomål/A 54326-2020 FSC-klagomål.docx", "A 54326-2020")</f>
        <v/>
      </c>
      <c r="W7">
        <f>HYPERLINK("https://klasma.github.io/Logging_1761/klagomålsmail/A 54326-2020 FSC-klagomål mail.docx", "A 54326-2020")</f>
        <v/>
      </c>
      <c r="X7">
        <f>HYPERLINK("https://klasma.github.io/Logging_1761/tillsyn/A 54326-2020 tillsynsbegäran.docx", "A 54326-2020")</f>
        <v/>
      </c>
      <c r="Y7">
        <f>HYPERLINK("https://klasma.github.io/Logging_1761/tillsynsmail/A 54326-2020 tillsynsbegäran mail.docx", "A 54326-2020")</f>
        <v/>
      </c>
      <c r="Z7">
        <f>HYPERLINK("https://klasma.github.io/Logging_1761/fåglar/A 54326-2020 prioriterade fågelarter.docx", "A 54326-2020")</f>
        <v/>
      </c>
    </row>
    <row r="8" ht="15" customHeight="1">
      <c r="A8" t="inlineStr">
        <is>
          <t>A 7593-2025</t>
        </is>
      </c>
      <c r="B8" s="1" t="n">
        <v>45705</v>
      </c>
      <c r="C8" s="1" t="n">
        <v>45891</v>
      </c>
      <c r="D8" t="inlineStr">
        <is>
          <t>VÄRMLANDS LÄN</t>
        </is>
      </c>
      <c r="E8" t="inlineStr">
        <is>
          <t>HAMMARÖ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Trollpipistrell</t>
        </is>
      </c>
      <c r="S8">
        <f>HYPERLINK("https://klasma.github.io/Logging_1761/artfynd/A 7593-2025 artfynd.xlsx", "A 7593-2025")</f>
        <v/>
      </c>
      <c r="T8">
        <f>HYPERLINK("https://klasma.github.io/Logging_1761/kartor/A 7593-2025 karta.png", "A 7593-2025")</f>
        <v/>
      </c>
      <c r="V8">
        <f>HYPERLINK("https://klasma.github.io/Logging_1761/klagomål/A 7593-2025 FSC-klagomål.docx", "A 7593-2025")</f>
        <v/>
      </c>
      <c r="W8">
        <f>HYPERLINK("https://klasma.github.io/Logging_1761/klagomålsmail/A 7593-2025 FSC-klagomål mail.docx", "A 7593-2025")</f>
        <v/>
      </c>
      <c r="X8">
        <f>HYPERLINK("https://klasma.github.io/Logging_1761/tillsyn/A 7593-2025 tillsynsbegäran.docx", "A 7593-2025")</f>
        <v/>
      </c>
      <c r="Y8">
        <f>HYPERLINK("https://klasma.github.io/Logging_1761/tillsynsmail/A 7593-2025 tillsynsbegäran mail.docx", "A 7593-2025")</f>
        <v/>
      </c>
    </row>
    <row r="9" ht="15" customHeight="1">
      <c r="A9" t="inlineStr">
        <is>
          <t>A 55068-2023</t>
        </is>
      </c>
      <c r="B9" s="1" t="n">
        <v>45237</v>
      </c>
      <c r="C9" s="1" t="n">
        <v>45891</v>
      </c>
      <c r="D9" t="inlineStr">
        <is>
          <t>VÄRMLANDS LÄN</t>
        </is>
      </c>
      <c r="E9" t="inlineStr">
        <is>
          <t>HAMMARÖ</t>
        </is>
      </c>
      <c r="F9" t="inlineStr">
        <is>
          <t>Kommuner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HYPERLINK("https://klasma.github.io/Logging_1761/artfynd/A 55068-2023 artfynd.xlsx", "A 55068-2023")</f>
        <v/>
      </c>
      <c r="T9">
        <f>HYPERLINK("https://klasma.github.io/Logging_1761/kartor/A 55068-2023 karta.png", "A 55068-2023")</f>
        <v/>
      </c>
      <c r="V9">
        <f>HYPERLINK("https://klasma.github.io/Logging_1761/klagomål/A 55068-2023 FSC-klagomål.docx", "A 55068-2023")</f>
        <v/>
      </c>
      <c r="W9">
        <f>HYPERLINK("https://klasma.github.io/Logging_1761/klagomålsmail/A 55068-2023 FSC-klagomål mail.docx", "A 55068-2023")</f>
        <v/>
      </c>
      <c r="X9">
        <f>HYPERLINK("https://klasma.github.io/Logging_1761/tillsyn/A 55068-2023 tillsynsbegäran.docx", "A 55068-2023")</f>
        <v/>
      </c>
      <c r="Y9">
        <f>HYPERLINK("https://klasma.github.io/Logging_1761/tillsynsmail/A 55068-2023 tillsynsbegäran mail.docx", "A 55068-2023")</f>
        <v/>
      </c>
    </row>
    <row r="10" ht="15" customHeight="1">
      <c r="A10" t="inlineStr">
        <is>
          <t>A 20755-2021</t>
        </is>
      </c>
      <c r="B10" s="1" t="n">
        <v>44316</v>
      </c>
      <c r="C10" s="1" t="n">
        <v>45891</v>
      </c>
      <c r="D10" t="inlineStr">
        <is>
          <t>VÄRMLANDS LÄN</t>
        </is>
      </c>
      <c r="E10" t="inlineStr">
        <is>
          <t>HAMMARÖ</t>
        </is>
      </c>
      <c r="G10" t="n">
        <v>16.8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HYPERLINK("https://klasma.github.io/Logging_1761/artfynd/A 20755-2021 artfynd.xlsx", "A 20755-2021")</f>
        <v/>
      </c>
      <c r="T10">
        <f>HYPERLINK("https://klasma.github.io/Logging_1761/kartor/A 20755-2021 karta.png", "A 20755-2021")</f>
        <v/>
      </c>
      <c r="V10">
        <f>HYPERLINK("https://klasma.github.io/Logging_1761/klagomål/A 20755-2021 FSC-klagomål.docx", "A 20755-2021")</f>
        <v/>
      </c>
      <c r="W10">
        <f>HYPERLINK("https://klasma.github.io/Logging_1761/klagomålsmail/A 20755-2021 FSC-klagomål mail.docx", "A 20755-2021")</f>
        <v/>
      </c>
      <c r="X10">
        <f>HYPERLINK("https://klasma.github.io/Logging_1761/tillsyn/A 20755-2021 tillsynsbegäran.docx", "A 20755-2021")</f>
        <v/>
      </c>
      <c r="Y10">
        <f>HYPERLINK("https://klasma.github.io/Logging_1761/tillsynsmail/A 20755-2021 tillsynsbegäran mail.docx", "A 20755-2021")</f>
        <v/>
      </c>
      <c r="Z10">
        <f>HYPERLINK("https://klasma.github.io/Logging_1761/fåglar/A 20755-2021 prioriterade fågelarter.docx", "A 20755-2021")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45891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45891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45891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45891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45891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55069-2023</t>
        </is>
      </c>
      <c r="B16" s="1" t="n">
        <v>45237</v>
      </c>
      <c r="C16" s="1" t="n">
        <v>45891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42957-2023</t>
        </is>
      </c>
      <c r="B17" s="1" t="n">
        <v>45182</v>
      </c>
      <c r="C17" s="1" t="n">
        <v>45891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45891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62456-2020</t>
        </is>
      </c>
      <c r="B19" s="1" t="n">
        <v>44160</v>
      </c>
      <c r="C19" s="1" t="n">
        <v>45891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58383-2024</t>
        </is>
      </c>
      <c r="B20" s="1" t="n">
        <v>45632</v>
      </c>
      <c r="C20" s="1" t="n">
        <v>45891</v>
      </c>
      <c r="D20" t="inlineStr">
        <is>
          <t>VÄRMLANDS LÄN</t>
        </is>
      </c>
      <c r="E20" t="inlineStr">
        <is>
          <t>HAMMARÖ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53369-2024</t>
        </is>
      </c>
      <c r="B21" s="1" t="n">
        <v>45614</v>
      </c>
      <c r="C21" s="1" t="n">
        <v>45891</v>
      </c>
      <c r="D21" t="inlineStr">
        <is>
          <t>VÄRMLANDS LÄN</t>
        </is>
      </c>
      <c r="E21" t="inlineStr">
        <is>
          <t>HAMMARÖ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57893-2023</t>
        </is>
      </c>
      <c r="B22" s="1" t="n">
        <v>45247</v>
      </c>
      <c r="C22" s="1" t="n">
        <v>45891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45891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45891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45891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45891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45891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45891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3661-2025</t>
        </is>
      </c>
      <c r="B29" s="1" t="n">
        <v>45681</v>
      </c>
      <c r="C29" s="1" t="n">
        <v>45891</v>
      </c>
      <c r="D29" t="inlineStr">
        <is>
          <t>VÄRMLANDS LÄN</t>
        </is>
      </c>
      <c r="E29" t="inlineStr">
        <is>
          <t>HAMMARÖ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58382-2024</t>
        </is>
      </c>
      <c r="B30" s="1" t="n">
        <v>45632</v>
      </c>
      <c r="C30" s="1" t="n">
        <v>45891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41895-2023</t>
        </is>
      </c>
      <c r="B31" s="1" t="n">
        <v>45176</v>
      </c>
      <c r="C31" s="1" t="n">
        <v>45891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41899-2023</t>
        </is>
      </c>
      <c r="B32" s="1" t="n">
        <v>45176</v>
      </c>
      <c r="C32" s="1" t="n">
        <v>45891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10793-2025</t>
        </is>
      </c>
      <c r="B33" s="1" t="n">
        <v>45722</v>
      </c>
      <c r="C33" s="1" t="n">
        <v>45891</v>
      </c>
      <c r="D33" t="inlineStr">
        <is>
          <t>VÄRMLANDS LÄN</t>
        </is>
      </c>
      <c r="E33" t="inlineStr">
        <is>
          <t>HAMMARÖ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13354-2022</t>
        </is>
      </c>
      <c r="B34" s="1" t="n">
        <v>44645</v>
      </c>
      <c r="C34" s="1" t="n">
        <v>45891</v>
      </c>
      <c r="D34" t="inlineStr">
        <is>
          <t>VÄRMLANDS LÄN</t>
        </is>
      </c>
      <c r="E34" t="inlineStr">
        <is>
          <t>HAMMARÖ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55066-2023</t>
        </is>
      </c>
      <c r="B35" s="1" t="n">
        <v>45237</v>
      </c>
      <c r="C35" s="1" t="n">
        <v>45891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2769-2023</t>
        </is>
      </c>
      <c r="B36" s="1" t="n">
        <v>44944</v>
      </c>
      <c r="C36" s="1" t="n">
        <v>45891</v>
      </c>
      <c r="D36" t="inlineStr">
        <is>
          <t>VÄRMLANDS LÄN</t>
        </is>
      </c>
      <c r="E36" t="inlineStr">
        <is>
          <t>HAMMARÖ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2025-08-22T08:30:15Z</dcterms:created>
  <dcterms:modified xmlns:dcterms="http://purl.org/dc/terms/" xmlns:xsi="http://www.w3.org/2001/XMLSchema-instance" xsi:type="dcterms:W3CDTF">2025-08-22T08:30:15Z</dcterms:modified>
</cp:coreProperties>
</file>