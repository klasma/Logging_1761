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45765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45765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45765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45765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HYPERLINK("https://klasma.github.io/Logging_171761/artfynd/A 10795-2025 artfynd.xlsx", "A 10795-2025")</f>
        <v/>
      </c>
      <c r="T5">
        <f>HYPERLINK("https://klasma.github.io/Logging_171761/kartor/A 10795-2025 karta.png", "A 10795-2025")</f>
        <v/>
      </c>
      <c r="V5">
        <f>HYPERLINK("https://klasma.github.io/Logging_171761/klagomål/A 10795-2025 FSC-klagomål.docx", "A 10795-2025")</f>
        <v/>
      </c>
      <c r="W5">
        <f>HYPERLINK("https://klasma.github.io/Logging_171761/klagomålsmail/A 10795-2025 FSC-klagomål mail.docx", "A 10795-2025")</f>
        <v/>
      </c>
      <c r="X5">
        <f>HYPERLINK("https://klasma.github.io/Logging_171761/tillsyn/A 10795-2025 tillsynsbegäran.docx", "A 10795-2025")</f>
        <v/>
      </c>
      <c r="Y5">
        <f>HYPERLINK("https://klasma.github.io/Logging_171761/tillsynsmail/A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45765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24618-2022</t>
        </is>
      </c>
      <c r="B7" s="1" t="n">
        <v>44727</v>
      </c>
      <c r="C7" s="1" t="n">
        <v>45765</v>
      </c>
      <c r="D7" t="inlineStr">
        <is>
          <t>VÄRMLANDS LÄN</t>
        </is>
      </c>
      <c r="E7" t="inlineStr">
        <is>
          <t>HAMMARÖ</t>
        </is>
      </c>
      <c r="F7" t="inlineStr">
        <is>
          <t>Kommuner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HYPERLINK("https://klasma.github.io/Logging_1761/artfynd/A 24618-2022 artfynd.xlsx", "A 24618-2022")</f>
        <v/>
      </c>
      <c r="T7">
        <f>HYPERLINK("https://klasma.github.io/Logging_1761/kartor/A 24618-2022 karta.png", "A 24618-2022")</f>
        <v/>
      </c>
      <c r="U7">
        <f>HYPERLINK("https://klasma.github.io/Logging_1761/knärot/A 24618-2022 karta knärot.png", "A 24618-2022")</f>
        <v/>
      </c>
      <c r="V7">
        <f>HYPERLINK("https://klasma.github.io/Logging_1761/klagomål/A 24618-2022 FSC-klagomål.docx", "A 24618-2022")</f>
        <v/>
      </c>
      <c r="W7">
        <f>HYPERLINK("https://klasma.github.io/Logging_1761/klagomålsmail/A 24618-2022 FSC-klagomål mail.docx", "A 24618-2022")</f>
        <v/>
      </c>
      <c r="X7">
        <f>HYPERLINK("https://klasma.github.io/Logging_1761/tillsyn/A 24618-2022 tillsynsbegäran.docx", "A 24618-2022")</f>
        <v/>
      </c>
      <c r="Y7">
        <f>HYPERLINK("https://klasma.github.io/Logging_1761/tillsynsmail/A 24618-2022 tillsynsbegäran mail.docx", "A 24618-2022")</f>
        <v/>
      </c>
    </row>
    <row r="8" ht="15" customHeight="1">
      <c r="A8" t="inlineStr">
        <is>
          <t>A 41803-2023</t>
        </is>
      </c>
      <c r="B8" s="1" t="n">
        <v>45176</v>
      </c>
      <c r="C8" s="1" t="n">
        <v>45765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HYPERLINK("https://klasma.github.io/Logging_1761/artfynd/A 41803-2023 artfynd.xlsx", "A 41803-2023")</f>
        <v/>
      </c>
      <c r="T8">
        <f>HYPERLINK("https://klasma.github.io/Logging_1761/kartor/A 41803-2023 karta.png", "A 41803-2023")</f>
        <v/>
      </c>
      <c r="V8">
        <f>HYPERLINK("https://klasma.github.io/Logging_1761/klagomål/A 41803-2023 FSC-klagomål.docx", "A 41803-2023")</f>
        <v/>
      </c>
      <c r="W8">
        <f>HYPERLINK("https://klasma.github.io/Logging_1761/klagomålsmail/A 41803-2023 FSC-klagomål mail.docx", "A 41803-2023")</f>
        <v/>
      </c>
      <c r="X8">
        <f>HYPERLINK("https://klasma.github.io/Logging_1761/tillsyn/A 41803-2023 tillsynsbegäran.docx", "A 41803-2023")</f>
        <v/>
      </c>
      <c r="Y8">
        <f>HYPERLINK("https://klasma.github.io/Logging_1761/tillsynsmail/A 41803-2023 tillsynsbegäran mail.docx", "A 41803-2023")</f>
        <v/>
      </c>
      <c r="Z8">
        <f>HYPERLINK("https://klasma.github.io/Logging_1761/fåglar/A 41803-2023 prioriterade fågelarter.docx", "A 41803-2023")</f>
        <v/>
      </c>
    </row>
    <row r="9" ht="15" customHeight="1">
      <c r="A9" t="inlineStr">
        <is>
          <t>A 42303-2023</t>
        </is>
      </c>
      <c r="B9" s="1" t="n">
        <v>45180</v>
      </c>
      <c r="C9" s="1" t="n">
        <v>45765</v>
      </c>
      <c r="D9" t="inlineStr">
        <is>
          <t>VÄRMLANDS LÄN</t>
        </is>
      </c>
      <c r="E9" t="inlineStr">
        <is>
          <t>HAMMARÖ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42303-2023 artfynd.xlsx", "A 42303-2023")</f>
        <v/>
      </c>
      <c r="T9">
        <f>HYPERLINK("https://klasma.github.io/Logging_1761/kartor/A 42303-2023 karta.png", "A 42303-2023")</f>
        <v/>
      </c>
      <c r="V9">
        <f>HYPERLINK("https://klasma.github.io/Logging_1761/klagomål/A 42303-2023 FSC-klagomål.docx", "A 42303-2023")</f>
        <v/>
      </c>
      <c r="W9">
        <f>HYPERLINK("https://klasma.github.io/Logging_1761/klagomålsmail/A 42303-2023 FSC-klagomål mail.docx", "A 42303-2023")</f>
        <v/>
      </c>
      <c r="X9">
        <f>HYPERLINK("https://klasma.github.io/Logging_1761/tillsyn/A 42303-2023 tillsynsbegäran.docx", "A 42303-2023")</f>
        <v/>
      </c>
      <c r="Y9">
        <f>HYPERLINK("https://klasma.github.io/Logging_1761/tillsynsmail/A 42303-2023 tillsynsbegäran mail.docx", "A 42303-2023")</f>
        <v/>
      </c>
      <c r="Z9">
        <f>HYPERLINK("https://klasma.github.io/Logging_1761/fåglar/A 42303-2023 prioriterade fågelarter.docx", "A 42303-2023")</f>
        <v/>
      </c>
    </row>
    <row r="10" ht="15" customHeight="1">
      <c r="A10" t="inlineStr">
        <is>
          <t>A 42337-2023</t>
        </is>
      </c>
      <c r="B10" s="1" t="n">
        <v>45180</v>
      </c>
      <c r="C10" s="1" t="n">
        <v>45765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42337-2023 artfynd.xlsx", "A 42337-2023")</f>
        <v/>
      </c>
      <c r="T10">
        <f>HYPERLINK("https://klasma.github.io/Logging_1761/kartor/A 42337-2023 karta.png", "A 42337-2023")</f>
        <v/>
      </c>
      <c r="V10">
        <f>HYPERLINK("https://klasma.github.io/Logging_1761/klagomål/A 42337-2023 FSC-klagomål.docx", "A 42337-2023")</f>
        <v/>
      </c>
      <c r="W10">
        <f>HYPERLINK("https://klasma.github.io/Logging_1761/klagomålsmail/A 42337-2023 FSC-klagomål mail.docx", "A 42337-2023")</f>
        <v/>
      </c>
      <c r="X10">
        <f>HYPERLINK("https://klasma.github.io/Logging_1761/tillsyn/A 42337-2023 tillsynsbegäran.docx", "A 42337-2023")</f>
        <v/>
      </c>
      <c r="Y10">
        <f>HYPERLINK("https://klasma.github.io/Logging_1761/tillsynsmail/A 42337-2023 tillsynsbegäran mail.docx", "A 42337-2023")</f>
        <v/>
      </c>
      <c r="Z10">
        <f>HYPERLINK("https://klasma.github.io/Logging_1761/fåglar/A 42337-2023 prioriterade fågelarter.docx", "A 42337-2023")</f>
        <v/>
      </c>
    </row>
    <row r="11" ht="15" customHeight="1">
      <c r="A11" t="inlineStr">
        <is>
          <t>A 53276-2023</t>
        </is>
      </c>
      <c r="B11" s="1" t="n">
        <v>45229</v>
      </c>
      <c r="C11" s="1" t="n">
        <v>45765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0.3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53276-2023 artfynd.xlsx", "A 53276-2023")</f>
        <v/>
      </c>
      <c r="T11">
        <f>HYPERLINK("https://klasma.github.io/Logging_1761/kartor/A 53276-2023 karta.png", "A 53276-2023")</f>
        <v/>
      </c>
      <c r="V11">
        <f>HYPERLINK("https://klasma.github.io/Logging_1761/klagomål/A 53276-2023 FSC-klagomål.docx", "A 53276-2023")</f>
        <v/>
      </c>
      <c r="W11">
        <f>HYPERLINK("https://klasma.github.io/Logging_1761/klagomålsmail/A 53276-2023 FSC-klagomål mail.docx", "A 53276-2023")</f>
        <v/>
      </c>
      <c r="X11">
        <f>HYPERLINK("https://klasma.github.io/Logging_1761/tillsyn/A 53276-2023 tillsynsbegäran.docx", "A 53276-2023")</f>
        <v/>
      </c>
      <c r="Y11">
        <f>HYPERLINK("https://klasma.github.io/Logging_1761/tillsynsmail/A 53276-2023 tillsynsbegäran mail.docx", "A 53276-2023")</f>
        <v/>
      </c>
      <c r="Z11">
        <f>HYPERLINK("https://klasma.github.io/Logging_1761/fåglar/A 53276-2023 prioriterade fågelarter.docx", "A 53276-2023")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45765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7593-2025</t>
        </is>
      </c>
      <c r="B13" s="1" t="n">
        <v>45705</v>
      </c>
      <c r="C13" s="1" t="n">
        <v>45765</v>
      </c>
      <c r="D13" t="inlineStr">
        <is>
          <t>VÄRMLANDS LÄN</t>
        </is>
      </c>
      <c r="E13" t="inlineStr">
        <is>
          <t>HAMMARÖ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Trollpipistrell</t>
        </is>
      </c>
      <c r="S13">
        <f>HYPERLINK("https://klasma.github.io/Logging_1761/artfynd/A 7593-2025 artfynd.xlsx", "A 7593-2025")</f>
        <v/>
      </c>
      <c r="T13">
        <f>HYPERLINK("https://klasma.github.io/Logging_1761/kartor/A 7593-2025 karta.png", "A 7593-2025")</f>
        <v/>
      </c>
      <c r="V13">
        <f>HYPERLINK("https://klasma.github.io/Logging_1761/klagomål/A 7593-2025 FSC-klagomål.docx", "A 7593-2025")</f>
        <v/>
      </c>
      <c r="W13">
        <f>HYPERLINK("https://klasma.github.io/Logging_1761/klagomålsmail/A 7593-2025 FSC-klagomål mail.docx", "A 7593-2025")</f>
        <v/>
      </c>
      <c r="X13">
        <f>HYPERLINK("https://klasma.github.io/Logging_1761/tillsyn/A 7593-2025 tillsynsbegäran.docx", "A 7593-2025")</f>
        <v/>
      </c>
      <c r="Y13">
        <f>HYPERLINK("https://klasma.github.io/Logging_1761/tillsynsmail/A 7593-2025 tillsynsbegäran mail.docx", "A 7593-2025")</f>
        <v/>
      </c>
    </row>
    <row r="14" ht="15" customHeight="1">
      <c r="A14" t="inlineStr">
        <is>
          <t>A 23183-2020</t>
        </is>
      </c>
      <c r="B14" s="1" t="n">
        <v>43966</v>
      </c>
      <c r="C14" s="1" t="n">
        <v>45765</v>
      </c>
      <c r="D14" t="inlineStr">
        <is>
          <t>VÄRMLANDS LÄN</t>
        </is>
      </c>
      <c r="E14" t="inlineStr">
        <is>
          <t>HAMMARÖ</t>
        </is>
      </c>
      <c r="F14" t="inlineStr">
        <is>
          <t>Övriga Aktiebolag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62456-2020</t>
        </is>
      </c>
      <c r="B15" s="1" t="n">
        <v>44160</v>
      </c>
      <c r="C15" s="1" t="n">
        <v>45765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62608-2020</t>
        </is>
      </c>
      <c r="B16" s="1" t="n">
        <v>44161</v>
      </c>
      <c r="C16" s="1" t="n">
        <v>45765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5072-2021</t>
        </is>
      </c>
      <c r="B17" s="1" t="n">
        <v>44228</v>
      </c>
      <c r="C17" s="1" t="n">
        <v>45765</v>
      </c>
      <c r="D17" t="inlineStr">
        <is>
          <t>VÄRMLANDS LÄN</t>
        </is>
      </c>
      <c r="E17" t="inlineStr">
        <is>
          <t>HAMMARÖ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HYPERLINK("https://klasma.github.io/Logging_1761/knärot/A 5072-2021 karta knärot.png", "A 5072-2021")</f>
        <v/>
      </c>
      <c r="V17">
        <f>HYPERLINK("https://klasma.github.io/Logging_1761/klagomål/A 5072-2021 FSC-klagomål.docx", "A 5072-2021")</f>
        <v/>
      </c>
      <c r="W17">
        <f>HYPERLINK("https://klasma.github.io/Logging_1761/klagomålsmail/A 5072-2021 FSC-klagomål mail.docx", "A 5072-2021")</f>
        <v/>
      </c>
      <c r="X17">
        <f>HYPERLINK("https://klasma.github.io/Logging_1761/tillsyn/A 5072-2021 tillsynsbegäran.docx", "A 5072-2021")</f>
        <v/>
      </c>
      <c r="Y17">
        <f>HYPERLINK("https://klasma.github.io/Logging_1761/tillsynsmail/A 5072-2021 tillsynsbegäran mail.docx", "A 5072-2021")</f>
        <v/>
      </c>
    </row>
    <row r="18" ht="15" customHeight="1">
      <c r="A18" t="inlineStr">
        <is>
          <t>A 16890-2021</t>
        </is>
      </c>
      <c r="B18" s="1" t="n">
        <v>44295</v>
      </c>
      <c r="C18" s="1" t="n">
        <v>45765</v>
      </c>
      <c r="D18" t="inlineStr">
        <is>
          <t>VÄRMLANDS LÄN</t>
        </is>
      </c>
      <c r="E18" t="inlineStr">
        <is>
          <t>HAMMARÖ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20755-2021</t>
        </is>
      </c>
      <c r="B19" s="1" t="n">
        <v>44316</v>
      </c>
      <c r="C19" s="1" t="n">
        <v>45765</v>
      </c>
      <c r="D19" t="inlineStr">
        <is>
          <t>VÄRMLANDS LÄN</t>
        </is>
      </c>
      <c r="E19" t="inlineStr">
        <is>
          <t>HAMMARÖ</t>
        </is>
      </c>
      <c r="G19" t="n">
        <v>16.8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43631-2021</t>
        </is>
      </c>
      <c r="B20" s="1" t="n">
        <v>44433</v>
      </c>
      <c r="C20" s="1" t="n">
        <v>45765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56835-2021</t>
        </is>
      </c>
      <c r="B21" s="1" t="n">
        <v>44481</v>
      </c>
      <c r="C21" s="1" t="n">
        <v>45765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18.8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13354-2022</t>
        </is>
      </c>
      <c r="B22" s="1" t="n">
        <v>44645</v>
      </c>
      <c r="C22" s="1" t="n">
        <v>45765</v>
      </c>
      <c r="D22" t="inlineStr">
        <is>
          <t>VÄRMLANDS LÄN</t>
        </is>
      </c>
      <c r="E22" t="inlineStr">
        <is>
          <t>HAMMARÖ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13356-2022</t>
        </is>
      </c>
      <c r="B23" s="1" t="n">
        <v>44645</v>
      </c>
      <c r="C23" s="1" t="n">
        <v>45765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56799-2022</t>
        </is>
      </c>
      <c r="B24" s="1" t="n">
        <v>44894</v>
      </c>
      <c r="C24" s="1" t="n">
        <v>45765</v>
      </c>
      <c r="D24" t="inlineStr">
        <is>
          <t>VÄRMLANDS LÄN</t>
        </is>
      </c>
      <c r="E24" t="inlineStr">
        <is>
          <t>HAMMARÖ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2769-2023</t>
        </is>
      </c>
      <c r="B25" s="1" t="n">
        <v>44944</v>
      </c>
      <c r="C25" s="1" t="n">
        <v>45765</v>
      </c>
      <c r="D25" t="inlineStr">
        <is>
          <t>VÄRMLANDS LÄN</t>
        </is>
      </c>
      <c r="E25" t="inlineStr">
        <is>
          <t>HAMMARÖ</t>
        </is>
      </c>
      <c r="G25" t="n">
        <v>8.699999999999999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41897-2023</t>
        </is>
      </c>
      <c r="B26" s="1" t="n">
        <v>45176</v>
      </c>
      <c r="C26" s="1" t="n">
        <v>45765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41892-2023</t>
        </is>
      </c>
      <c r="B27" s="1" t="n">
        <v>45176</v>
      </c>
      <c r="C27" s="1" t="n">
        <v>45765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41891-2023</t>
        </is>
      </c>
      <c r="B28" s="1" t="n">
        <v>45176</v>
      </c>
      <c r="C28" s="1" t="n">
        <v>45765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41895-2023</t>
        </is>
      </c>
      <c r="B29" s="1" t="n">
        <v>45176</v>
      </c>
      <c r="C29" s="1" t="n">
        <v>45765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41899-2023</t>
        </is>
      </c>
      <c r="B30" s="1" t="n">
        <v>45176</v>
      </c>
      <c r="C30" s="1" t="n">
        <v>45765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42339-2023</t>
        </is>
      </c>
      <c r="B31" s="1" t="n">
        <v>45180</v>
      </c>
      <c r="C31" s="1" t="n">
        <v>45765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45765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45765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45765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45765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45765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45765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45765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45765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45765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45765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45765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45765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45765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45765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45765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45765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45765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45765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45765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45765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2025-04-18T16:45:49Z</dcterms:created>
  <dcterms:modified xmlns:dcterms="http://purl.org/dc/terms/" xmlns:xsi="http://www.w3.org/2001/XMLSchema-instance" xsi:type="dcterms:W3CDTF">2025-04-18T16:45:49Z</dcterms:modified>
</cp:coreProperties>
</file>